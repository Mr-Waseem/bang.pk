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<sst xmlns="http://schemas.openxmlformats.org/spreadsheetml/2006/main" count="36" uniqueCount="30">
  <si>
    <t>Date</t>
  </si>
  <si>
    <t>Scenario</t>
  </si>
  <si>
    <t>Customer Name</t>
  </si>
  <si>
    <t>Customer NTN</t>
  </si>
  <si>
    <t>Unregistered CNIC / NTN</t>
  </si>
  <si>
    <t>HS Code</t>
  </si>
  <si>
    <t>Product Description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</si>
  <si>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</si>
  <si>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</si>
  <si>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</si>
  <si>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</si>
  <si>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</si>
  <si>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</si>
  <si>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</si>
  <si>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</si>
  <si>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</si>
  <si>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</si>
  <si>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</si>
  <si>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</si>
  <si>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</si>
  <si>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</si>
  <si>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</si>
  <si>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</si>
  <si>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</si>
  <si>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22/12/2025</t>
  </si>
  <si>
    <t>SN002</t>
  </si>
  <si>
    <t>Retail Customer</t>
  </si>
  <si>
    <t>0804.1010</t>
  </si>
  <si>
    <t>KHURMAI ZAHEDI ARVAND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</si>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</sst>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7.0"/>
      <color rgb="FF33333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/>
    </xf>
    <xf borderId="0" fillId="0" fontId="1" numFmtId="0" xfId="0" applyAlignment="1" applyFont="1">
      <alignment horizontal="right"/>
    </xf>
    <xf quotePrefix="1" borderId="0" fillId="0" fontId="1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4.25"/>
    <col customWidth="1" min="6" max="7" width="12.63"/>
    <col customWidth="1" min="19" max="19" width="14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3" t="s">
        <v>24</v>
      </c>
      <c r="B2" s="1" t="s">
        <v>25</v>
      </c>
      <c r="C2" s="1" t="s">
        <v>26</v>
      </c>
      <c r="D2" s="4">
        <v>9999999.0</v>
      </c>
      <c r="E2" s="4"/>
      <c r="F2" s="5" t="s">
        <v>27</v>
      </c>
      <c r="G2" s="6" t="s">
        <v>28</v>
      </c>
      <c r="H2" s="1" t="s">
        <v>29</v>
      </c>
      <c r="I2" s="4">
        <v>10.0</v>
      </c>
      <c r="J2" s="4">
        <v>99.0</v>
      </c>
      <c r="K2" s="4">
        <v>18.0</v>
      </c>
      <c r="L2" s="4">
        <f t="shared" ref="L2:L3" si="1">I2*J2*(K2%)</f>
        <v>178.2</v>
      </c>
      <c r="M2" s="1"/>
      <c r="N2" s="1"/>
      <c r="O2" s="4">
        <f t="shared" ref="O2:O3" si="2">I2*J2</f>
        <v>990</v>
      </c>
      <c r="P2" s="4">
        <v>2.0</v>
      </c>
      <c r="Q2" s="4">
        <v>2.0</v>
      </c>
      <c r="R2" s="4"/>
      <c r="S2" s="4"/>
      <c r="T2" s="4"/>
      <c r="U2" s="4"/>
      <c r="V2" s="4">
        <f t="shared" ref="V2:V3" si="3">O2+L2</f>
        <v>1168.2</v>
      </c>
      <c r="W2" s="1"/>
      <c r="X2" s="1"/>
    </row>
    <row r="3" ht="15.75" customHeight="1">
      <c r="A3" s="3" t="s">
        <v>24</v>
      </c>
      <c r="B3" s="1" t="s">
        <v>25</v>
      </c>
      <c r="C3" s="1" t="s">
        <v>26</v>
      </c>
      <c r="D3" s="4">
        <v>9999999.0</v>
      </c>
      <c r="E3" s="4"/>
      <c r="F3" s="5" t="s">
        <v>27</v>
      </c>
      <c r="G3" s="6" t="s">
        <v>28</v>
      </c>
      <c r="H3" s="1" t="s">
        <v>29</v>
      </c>
      <c r="I3" s="4">
        <v>10.0</v>
      </c>
      <c r="J3" s="4">
        <v>99.0</v>
      </c>
      <c r="K3" s="4">
        <v>18.0</v>
      </c>
      <c r="L3" s="4">
        <f t="shared" si="1"/>
        <v>178.2</v>
      </c>
      <c r="M3" s="1"/>
      <c r="N3" s="1"/>
      <c r="O3" s="4">
        <f t="shared" si="2"/>
        <v>990</v>
      </c>
      <c r="P3" s="4"/>
      <c r="Q3" s="4"/>
      <c r="R3" s="4"/>
      <c r="S3" s="4"/>
      <c r="T3" s="4"/>
      <c r="U3" s="4"/>
      <c r="V3" s="4">
        <f t="shared" si="3"/>
        <v>1168.2</v>
      </c>
      <c r="W3" s="1"/>
      <c r="X3" s="1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