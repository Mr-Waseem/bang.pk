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D1BCE7E5-C0E8-42C5-B619-9674478DA15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N2" i="1"/>
  <c r="X2" i="1" l="1"/>
</calcChain>
</file>

<file path=xl/sharedStrings.xml><?xml version="1.0" encoding="utf-8"?>
<sst xmlns="http://schemas.openxmlformats.org/spreadsheetml/2006/main" count="36" uniqueCount="34">
  <si>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</si>
  <si>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</si>
  <si>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</si>
  <si>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</si>
  <si>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</si>
  <si>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</si>
  <si>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</si>
  <si>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</si>
  <si>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</si>
  <si>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</si>
  <si>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</si>
  <si>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</si>
  <si>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</si>
  <si>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</si>
  <si>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</si>
  <si>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</si>
  <si>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</si>
  <si>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</si>
  <si>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</si>
  <si>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</si>
  <si>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</si>
  <si>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</si>
  <si>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</si>
  <si>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</si>
  <si>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</si>
  <si>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</si>
  <si>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</si>
  <si>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SN008</t>
  </si>
  <si>
    <t>SHAFQAT TRADERS (ACTIVE)</t>
  </si>
  <si>
    <t>8507.1010:-</t>
  </si>
  <si>
    <t>Numbers,pieces,units</t>
  </si>
  <si>
    <t>SUPREME 8 AH</t>
  </si>
  <si>
    <t>SUPER 8 AH</t>
  </si>
  <si>
    <t>1SHAFQAT TRADERS (ACTIVE)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</si>
</sst>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8"/>
  <sheetViews>
    <sheetView tabSelected="1" topLeftCell="B1" workbookViewId="0">
      <selection activeCell="H8" sqref="H8"/>
    </sheetView>
  </sheetViews>
  <sheetFormatPr defaultColWidth="12.5703125" defaultRowHeight="15" customHeight="1" x14ac:dyDescent="0.2"/>
  <cols>
    <col min="1" max="1" width="13.85546875" customWidth="1"/>
    <col min="2" max="2" width="10.5703125" customWidth="1"/>
    <col min="3" max="3" width="12.5703125" customWidth="1"/>
    <col min="4" max="4" width="27.85546875" bestFit="1" customWidth="1"/>
    <col min="5" max="5" width="19.42578125" bestFit="1" customWidth="1"/>
    <col min="6" max="6" width="22" bestFit="1" customWidth="1"/>
    <col min="7" max="7" width="10.7109375" bestFit="1" customWidth="1"/>
    <col min="8" max="8" width="17.5703125" bestFit="1" customWidth="1"/>
    <col min="9" max="9" width="15.5703125" bestFit="1" customWidth="1"/>
    <col min="10" max="10" width="19.28515625" bestFit="1" customWidth="1"/>
    <col min="11" max="11" width="8" bestFit="1" customWidth="1"/>
    <col min="12" max="12" width="6" bestFit="1" customWidth="1"/>
    <col min="13" max="13" width="10.7109375" bestFit="1" customWidth="1"/>
    <col min="14" max="14" width="9.28515625" bestFit="1" customWidth="1"/>
    <col min="15" max="15" width="9" bestFit="1" customWidth="1"/>
    <col min="16" max="16" width="13.85546875" bestFit="1" customWidth="1"/>
    <col min="17" max="17" width="17.5703125" bestFit="1" customWidth="1"/>
    <col min="18" max="18" width="10" bestFit="1" customWidth="1"/>
    <col min="19" max="19" width="13.7109375" bestFit="1" customWidth="1"/>
    <col min="20" max="20" width="11" bestFit="1" customWidth="1"/>
    <col min="21" max="21" width="15.28515625" bestFit="1" customWidth="1"/>
    <col min="22" max="22" width="20.140625" bestFit="1" customWidth="1"/>
    <col min="23" max="23" width="15.28515625" bestFit="1" customWidth="1"/>
    <col min="24" max="24" width="12" bestFit="1" customWidth="1"/>
    <col min="25" max="25" width="14.42578125" bestFit="1" customWidth="1"/>
    <col min="26" max="26" width="10.140625" bestFit="1" customWidth="1"/>
    <col min="27" max="27" width="14.140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>
        <v>46025</v>
      </c>
      <c r="B2" s="1">
        <v>108591</v>
      </c>
      <c r="C2" s="1" t="s">
        <v>27</v>
      </c>
      <c r="D2" t="s">
        <v>28</v>
      </c>
      <c r="E2">
        <v>3520222488805</v>
      </c>
      <c r="G2">
        <v>8507</v>
      </c>
      <c r="H2" t="s">
        <v>32</v>
      </c>
      <c r="J2" s="1" t="s">
        <v>30</v>
      </c>
      <c r="K2">
        <v>24</v>
      </c>
      <c r="L2" s="4">
        <v>2700</v>
      </c>
      <c r="M2" s="4">
        <v>18</v>
      </c>
      <c r="N2" s="4">
        <f t="shared" ref="N2:N3" si="0">K2*L2*(M2%)</f>
        <v>11664</v>
      </c>
      <c r="Q2" s="4">
        <f t="shared" ref="Q2:Q3" si="1">K2*L2</f>
        <v>64800</v>
      </c>
      <c r="R2" s="4"/>
      <c r="S2" s="4">
        <v>7128</v>
      </c>
      <c r="X2" s="4">
        <f>Q2+N2-S2</f>
        <v>69336</v>
      </c>
    </row>
    <row r="3" spans="1:27" ht="15.75" customHeight="1" x14ac:dyDescent="0.2">
      <c r="A3" s="3">
        <v>46025</v>
      </c>
      <c r="B3" s="1">
        <v>108591</v>
      </c>
      <c r="C3" s="1" t="s">
        <v>27</v>
      </c>
      <c r="D3" t="s">
        <v>33</v>
      </c>
      <c r="E3">
        <v>3520222488802</v>
      </c>
      <c r="G3" t="s">
        <v>29</v>
      </c>
      <c r="H3" t="s">
        <v>31</v>
      </c>
      <c r="J3" s="1" t="s">
        <v>30</v>
      </c>
      <c r="K3">
        <v>30</v>
      </c>
      <c r="L3" s="4">
        <v>3380</v>
      </c>
      <c r="M3" s="4">
        <v>18</v>
      </c>
      <c r="N3" s="4">
        <f t="shared" si="0"/>
        <v>18252</v>
      </c>
      <c r="Q3" s="4">
        <f t="shared" si="1"/>
        <v>101400</v>
      </c>
      <c r="R3" s="4"/>
      <c r="S3" s="4">
        <v>11154</v>
      </c>
      <c r="X3" s="4">
        <f t="shared" ref="X3" si="2">Q3+N3-S3</f>
        <v>108498</v>
      </c>
    </row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2026-02-11T12:14:24Z</dcterms:modified>
</cp:coreProperties>
</file>