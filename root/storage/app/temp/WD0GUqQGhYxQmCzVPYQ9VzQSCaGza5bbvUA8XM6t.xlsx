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310"/>
  </bookViews>
  <sheets>
    <sheet name="Sheet1" sheetId="1" r:id="rId1"/>
  </sheets>
  <definedNames>
    <definedName name="_xlnm._FilterDatabase" localSheetId="0" hidden="1">Sheet1!$A$1:$AC$356</definedName>
  </definedNames>
  <calcPr calcId="144525"/>
</workbook>
</file>

<file path=xl/calcChain.xml><?xml version="1.0" encoding="utf-8"?>
<calcChain xmlns="http://schemas.openxmlformats.org/spreadsheetml/2006/main">
  <c r="Q6" i="1" l="1"/>
  <c r="Q7" i="1"/>
  <c r="Q8" i="1"/>
  <c r="Q9" i="1"/>
  <c r="Q10" i="1"/>
  <c r="Q11" i="1"/>
  <c r="Q12" i="1"/>
  <c r="Q13" i="1"/>
  <c r="P13" i="1" s="1"/>
  <c r="Q14" i="1"/>
  <c r="Q15" i="1"/>
  <c r="Q16" i="1"/>
  <c r="Q17" i="1"/>
  <c r="P17" i="1" s="1"/>
  <c r="Q18" i="1"/>
  <c r="Q19" i="1"/>
  <c r="Q20" i="1"/>
  <c r="Q21" i="1"/>
  <c r="P21" i="1" s="1"/>
  <c r="Q22" i="1"/>
  <c r="Q23" i="1"/>
  <c r="Q24" i="1"/>
  <c r="Q25" i="1"/>
  <c r="P25" i="1" s="1"/>
  <c r="Q26" i="1"/>
  <c r="Q27" i="1"/>
  <c r="Q28" i="1"/>
  <c r="Q29" i="1"/>
  <c r="P29" i="1" s="1"/>
  <c r="Q30" i="1"/>
  <c r="Q31" i="1"/>
  <c r="Q32" i="1"/>
  <c r="Q33" i="1"/>
  <c r="P33" i="1" s="1"/>
  <c r="Q34" i="1"/>
  <c r="Q35" i="1"/>
  <c r="Q36" i="1"/>
  <c r="Q37" i="1"/>
  <c r="P37" i="1" s="1"/>
  <c r="Q38" i="1"/>
  <c r="Q39" i="1"/>
  <c r="Q40" i="1"/>
  <c r="Q41" i="1"/>
  <c r="P41" i="1" s="1"/>
  <c r="Q42" i="1"/>
  <c r="Q43" i="1"/>
  <c r="Q44" i="1"/>
  <c r="Q45" i="1"/>
  <c r="P45" i="1" s="1"/>
  <c r="Q46" i="1"/>
  <c r="Q47" i="1"/>
  <c r="Q48" i="1"/>
  <c r="Q49" i="1"/>
  <c r="P49" i="1" s="1"/>
  <c r="Q50" i="1"/>
  <c r="Q51" i="1"/>
  <c r="Q52" i="1"/>
  <c r="Q53" i="1"/>
  <c r="P53" i="1" s="1"/>
  <c r="Q54" i="1"/>
  <c r="Q55" i="1"/>
  <c r="Q56" i="1"/>
  <c r="Q57" i="1"/>
  <c r="P57" i="1" s="1"/>
  <c r="Q58" i="1"/>
  <c r="Q59" i="1"/>
  <c r="Q60" i="1"/>
  <c r="Q61" i="1"/>
  <c r="P61" i="1" s="1"/>
  <c r="Q62" i="1"/>
  <c r="Q63" i="1"/>
  <c r="Q64" i="1"/>
  <c r="Q65" i="1"/>
  <c r="P65" i="1" s="1"/>
  <c r="Q66" i="1"/>
  <c r="Q67" i="1"/>
  <c r="Q68" i="1"/>
  <c r="Q69" i="1"/>
  <c r="P69" i="1" s="1"/>
  <c r="Q70" i="1"/>
  <c r="Q71" i="1"/>
  <c r="Q72" i="1"/>
  <c r="Q73" i="1"/>
  <c r="P73" i="1" s="1"/>
  <c r="Q74" i="1"/>
  <c r="Q75" i="1"/>
  <c r="Q76" i="1"/>
  <c r="Q77" i="1"/>
  <c r="P77" i="1" s="1"/>
  <c r="Q78" i="1"/>
  <c r="Q79" i="1"/>
  <c r="Q80" i="1"/>
  <c r="Q81" i="1"/>
  <c r="P81" i="1" s="1"/>
  <c r="Q82" i="1"/>
  <c r="Q83" i="1"/>
  <c r="Q84" i="1"/>
  <c r="Q85" i="1"/>
  <c r="P85" i="1" s="1"/>
  <c r="Q86" i="1"/>
  <c r="Q87" i="1"/>
  <c r="Q88" i="1"/>
  <c r="Q89" i="1"/>
  <c r="P89" i="1" s="1"/>
  <c r="Q90" i="1"/>
  <c r="Q91" i="1"/>
  <c r="Q92" i="1"/>
  <c r="Q93" i="1"/>
  <c r="P93" i="1" s="1"/>
  <c r="Q94" i="1"/>
  <c r="Q95" i="1"/>
  <c r="Q96" i="1"/>
  <c r="Q97" i="1"/>
  <c r="P97" i="1" s="1"/>
  <c r="Q98" i="1"/>
  <c r="Q99" i="1"/>
  <c r="Q100" i="1"/>
  <c r="Q101" i="1"/>
  <c r="P101" i="1" s="1"/>
  <c r="Q102" i="1"/>
  <c r="Q103" i="1"/>
  <c r="Q104" i="1"/>
  <c r="Q105" i="1"/>
  <c r="P105" i="1" s="1"/>
  <c r="Q106" i="1"/>
  <c r="Q107" i="1"/>
  <c r="Q108" i="1"/>
  <c r="Q109" i="1"/>
  <c r="P109" i="1" s="1"/>
  <c r="Q110" i="1"/>
  <c r="Q111" i="1"/>
  <c r="Q112" i="1"/>
  <c r="Q113" i="1"/>
  <c r="P113" i="1" s="1"/>
  <c r="Q114" i="1"/>
  <c r="Q115" i="1"/>
  <c r="Q116" i="1"/>
  <c r="Q117" i="1"/>
  <c r="P117" i="1" s="1"/>
  <c r="Q118" i="1"/>
  <c r="Q119" i="1"/>
  <c r="Q120" i="1"/>
  <c r="Q121" i="1"/>
  <c r="P121" i="1" s="1"/>
  <c r="Q122" i="1"/>
  <c r="Q123" i="1"/>
  <c r="Q124" i="1"/>
  <c r="Q125" i="1"/>
  <c r="P125" i="1" s="1"/>
  <c r="Q126" i="1"/>
  <c r="Q127" i="1"/>
  <c r="Q128" i="1"/>
  <c r="Q129" i="1"/>
  <c r="P129" i="1" s="1"/>
  <c r="Q130" i="1"/>
  <c r="Q131" i="1"/>
  <c r="Q132" i="1"/>
  <c r="Q133" i="1"/>
  <c r="P133" i="1" s="1"/>
  <c r="Q134" i="1"/>
  <c r="Q135" i="1"/>
  <c r="Q136" i="1"/>
  <c r="Q137" i="1"/>
  <c r="P137" i="1" s="1"/>
  <c r="Q138" i="1"/>
  <c r="Q139" i="1"/>
  <c r="Q140" i="1"/>
  <c r="Q141" i="1"/>
  <c r="P141" i="1" s="1"/>
  <c r="Q142" i="1"/>
  <c r="Q143" i="1"/>
  <c r="Q144" i="1"/>
  <c r="Q145" i="1"/>
  <c r="P145" i="1" s="1"/>
  <c r="Q146" i="1"/>
  <c r="Q147" i="1"/>
  <c r="Q148" i="1"/>
  <c r="Q149" i="1"/>
  <c r="P149" i="1" s="1"/>
  <c r="Q150" i="1"/>
  <c r="Q151" i="1"/>
  <c r="Q152" i="1"/>
  <c r="Q153" i="1"/>
  <c r="P153" i="1" s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P227" i="1" s="1"/>
  <c r="Q228" i="1"/>
  <c r="Q229" i="1"/>
  <c r="Q230" i="1"/>
  <c r="Q231" i="1"/>
  <c r="P231" i="1" s="1"/>
  <c r="Q232" i="1"/>
  <c r="Q233" i="1"/>
  <c r="Q234" i="1"/>
  <c r="Q235" i="1"/>
  <c r="P235" i="1" s="1"/>
  <c r="Q236" i="1"/>
  <c r="Q237" i="1"/>
  <c r="Q238" i="1"/>
  <c r="Q239" i="1"/>
  <c r="P239" i="1" s="1"/>
  <c r="Q240" i="1"/>
  <c r="Q241" i="1"/>
  <c r="Q242" i="1"/>
  <c r="Q243" i="1"/>
  <c r="P243" i="1" s="1"/>
  <c r="Q244" i="1"/>
  <c r="Q245" i="1"/>
  <c r="Q246" i="1"/>
  <c r="Q247" i="1"/>
  <c r="P247" i="1" s="1"/>
  <c r="Q248" i="1"/>
  <c r="Q249" i="1"/>
  <c r="Q250" i="1"/>
  <c r="Q251" i="1"/>
  <c r="P251" i="1" s="1"/>
  <c r="Q252" i="1"/>
  <c r="Q253" i="1"/>
  <c r="Q254" i="1"/>
  <c r="Q255" i="1"/>
  <c r="P255" i="1" s="1"/>
  <c r="Q256" i="1"/>
  <c r="Q257" i="1"/>
  <c r="Q258" i="1"/>
  <c r="Q259" i="1"/>
  <c r="P259" i="1" s="1"/>
  <c r="Q260" i="1"/>
  <c r="Q261" i="1"/>
  <c r="Q262" i="1"/>
  <c r="Q263" i="1"/>
  <c r="P263" i="1" s="1"/>
  <c r="Q264" i="1"/>
  <c r="Q265" i="1"/>
  <c r="Q266" i="1"/>
  <c r="Q267" i="1"/>
  <c r="P267" i="1" s="1"/>
  <c r="Q268" i="1"/>
  <c r="Q269" i="1"/>
  <c r="Q270" i="1"/>
  <c r="Q271" i="1"/>
  <c r="P271" i="1" s="1"/>
  <c r="Q272" i="1"/>
  <c r="Q273" i="1"/>
  <c r="Q274" i="1"/>
  <c r="Q275" i="1"/>
  <c r="P275" i="1" s="1"/>
  <c r="Q276" i="1"/>
  <c r="Q277" i="1"/>
  <c r="Q278" i="1"/>
  <c r="Q279" i="1"/>
  <c r="P279" i="1" s="1"/>
  <c r="Q280" i="1"/>
  <c r="Q281" i="1"/>
  <c r="Q282" i="1"/>
  <c r="Q283" i="1"/>
  <c r="P283" i="1" s="1"/>
  <c r="Q284" i="1"/>
  <c r="Q285" i="1"/>
  <c r="Q286" i="1"/>
  <c r="Q287" i="1"/>
  <c r="P287" i="1" s="1"/>
  <c r="Q288" i="1"/>
  <c r="Q289" i="1"/>
  <c r="Q290" i="1"/>
  <c r="Q291" i="1"/>
  <c r="P291" i="1" s="1"/>
  <c r="Q292" i="1"/>
  <c r="Q293" i="1"/>
  <c r="Q294" i="1"/>
  <c r="Q295" i="1"/>
  <c r="P295" i="1" s="1"/>
  <c r="Q296" i="1"/>
  <c r="Q297" i="1"/>
  <c r="Q298" i="1"/>
  <c r="Q299" i="1"/>
  <c r="P299" i="1" s="1"/>
  <c r="Q300" i="1"/>
  <c r="Q301" i="1"/>
  <c r="Q302" i="1"/>
  <c r="Q303" i="1"/>
  <c r="P303" i="1" s="1"/>
  <c r="Q304" i="1"/>
  <c r="Q305" i="1"/>
  <c r="Q306" i="1"/>
  <c r="Q307" i="1"/>
  <c r="P307" i="1" s="1"/>
  <c r="Q308" i="1"/>
  <c r="Q309" i="1"/>
  <c r="Q310" i="1"/>
  <c r="Q311" i="1"/>
  <c r="P311" i="1" s="1"/>
  <c r="Q312" i="1"/>
  <c r="Q313" i="1"/>
  <c r="Q314" i="1"/>
  <c r="Q315" i="1"/>
  <c r="P315" i="1" s="1"/>
  <c r="Q316" i="1"/>
  <c r="Q317" i="1"/>
  <c r="Q318" i="1"/>
  <c r="Q319" i="1"/>
  <c r="P319" i="1" s="1"/>
  <c r="Q320" i="1"/>
  <c r="Q321" i="1"/>
  <c r="Q322" i="1"/>
  <c r="Q323" i="1"/>
  <c r="Q324" i="1"/>
  <c r="Q325" i="1"/>
  <c r="Q326" i="1"/>
  <c r="Q327" i="1"/>
  <c r="P327" i="1" s="1"/>
  <c r="Q328" i="1"/>
  <c r="Q329" i="1"/>
  <c r="Q330" i="1"/>
  <c r="Q331" i="1"/>
  <c r="P331" i="1" s="1"/>
  <c r="Q332" i="1"/>
  <c r="Q333" i="1"/>
  <c r="Q334" i="1"/>
  <c r="Q335" i="1"/>
  <c r="P335" i="1" s="1"/>
  <c r="Q336" i="1"/>
  <c r="Q337" i="1"/>
  <c r="Q338" i="1"/>
  <c r="Q339" i="1"/>
  <c r="P339" i="1" s="1"/>
  <c r="Q340" i="1"/>
  <c r="Q341" i="1"/>
  <c r="Q342" i="1"/>
  <c r="Q343" i="1"/>
  <c r="P343" i="1" s="1"/>
  <c r="Q344" i="1"/>
  <c r="Q345" i="1"/>
  <c r="Q346" i="1"/>
  <c r="Q347" i="1"/>
  <c r="Q348" i="1"/>
  <c r="Q349" i="1"/>
  <c r="Q350" i="1"/>
  <c r="Q351" i="1"/>
  <c r="P351" i="1" s="1"/>
  <c r="Q352" i="1"/>
  <c r="Q353" i="1"/>
  <c r="Q354" i="1"/>
  <c r="Q355" i="1"/>
  <c r="P355" i="1" s="1"/>
  <c r="Q356" i="1"/>
  <c r="P7" i="1"/>
  <c r="P8" i="1"/>
  <c r="P9" i="1"/>
  <c r="P11" i="1"/>
  <c r="P12" i="1"/>
  <c r="P15" i="1"/>
  <c r="P16" i="1"/>
  <c r="P19" i="1"/>
  <c r="P20" i="1"/>
  <c r="P23" i="1"/>
  <c r="P24" i="1"/>
  <c r="P27" i="1"/>
  <c r="P28" i="1"/>
  <c r="P31" i="1"/>
  <c r="P32" i="1"/>
  <c r="P35" i="1"/>
  <c r="P36" i="1"/>
  <c r="P39" i="1"/>
  <c r="P40" i="1"/>
  <c r="P43" i="1"/>
  <c r="P44" i="1"/>
  <c r="P47" i="1"/>
  <c r="P48" i="1"/>
  <c r="P51" i="1"/>
  <c r="P52" i="1"/>
  <c r="P55" i="1"/>
  <c r="P56" i="1"/>
  <c r="P59" i="1"/>
  <c r="P60" i="1"/>
  <c r="P63" i="1"/>
  <c r="P64" i="1"/>
  <c r="P67" i="1"/>
  <c r="P68" i="1"/>
  <c r="P71" i="1"/>
  <c r="P72" i="1"/>
  <c r="P75" i="1"/>
  <c r="P76" i="1"/>
  <c r="P79" i="1"/>
  <c r="P80" i="1"/>
  <c r="P83" i="1"/>
  <c r="P84" i="1"/>
  <c r="P87" i="1"/>
  <c r="P88" i="1"/>
  <c r="P91" i="1"/>
  <c r="P92" i="1"/>
  <c r="P95" i="1"/>
  <c r="P96" i="1"/>
  <c r="P99" i="1"/>
  <c r="P100" i="1"/>
  <c r="P103" i="1"/>
  <c r="P104" i="1"/>
  <c r="P107" i="1"/>
  <c r="P108" i="1"/>
  <c r="P111" i="1"/>
  <c r="P112" i="1"/>
  <c r="P115" i="1"/>
  <c r="P116" i="1"/>
  <c r="P119" i="1"/>
  <c r="P120" i="1"/>
  <c r="P123" i="1"/>
  <c r="P124" i="1"/>
  <c r="P127" i="1"/>
  <c r="P128" i="1"/>
  <c r="P131" i="1"/>
  <c r="P132" i="1"/>
  <c r="P135" i="1"/>
  <c r="P136" i="1"/>
  <c r="P139" i="1"/>
  <c r="P140" i="1"/>
  <c r="P143" i="1"/>
  <c r="P144" i="1"/>
  <c r="P147" i="1"/>
  <c r="P148" i="1"/>
  <c r="P151" i="1"/>
  <c r="P152" i="1"/>
  <c r="P155" i="1"/>
  <c r="P156" i="1"/>
  <c r="P159" i="1"/>
  <c r="P160" i="1"/>
  <c r="P163" i="1"/>
  <c r="P164" i="1"/>
  <c r="P167" i="1"/>
  <c r="P168" i="1"/>
  <c r="P171" i="1"/>
  <c r="P172" i="1"/>
  <c r="P175" i="1"/>
  <c r="P176" i="1"/>
  <c r="P179" i="1"/>
  <c r="P180" i="1"/>
  <c r="P183" i="1"/>
  <c r="P184" i="1"/>
  <c r="P187" i="1"/>
  <c r="P188" i="1"/>
  <c r="P191" i="1"/>
  <c r="P192" i="1"/>
  <c r="P195" i="1"/>
  <c r="P196" i="1"/>
  <c r="P199" i="1"/>
  <c r="P200" i="1"/>
  <c r="P203" i="1"/>
  <c r="P204" i="1"/>
  <c r="P207" i="1"/>
  <c r="P208" i="1"/>
  <c r="P211" i="1"/>
  <c r="P212" i="1"/>
  <c r="P215" i="1"/>
  <c r="P216" i="1"/>
  <c r="P219" i="1"/>
  <c r="P220" i="1"/>
  <c r="P223" i="1"/>
  <c r="P224" i="1"/>
  <c r="P228" i="1"/>
  <c r="P232" i="1"/>
  <c r="P236" i="1"/>
  <c r="P240" i="1"/>
  <c r="P244" i="1"/>
  <c r="P248" i="1"/>
  <c r="P252" i="1"/>
  <c r="P256" i="1"/>
  <c r="P260" i="1"/>
  <c r="P264" i="1"/>
  <c r="P268" i="1"/>
  <c r="P272" i="1"/>
  <c r="P276" i="1"/>
  <c r="P280" i="1"/>
  <c r="P284" i="1"/>
  <c r="P288" i="1"/>
  <c r="P292" i="1"/>
  <c r="P296" i="1"/>
  <c r="P300" i="1"/>
  <c r="P304" i="1"/>
  <c r="P308" i="1"/>
  <c r="P312" i="1"/>
  <c r="P316" i="1"/>
  <c r="P320" i="1"/>
  <c r="P324" i="1"/>
  <c r="P328" i="1"/>
  <c r="P332" i="1"/>
  <c r="P336" i="1"/>
  <c r="P340" i="1"/>
  <c r="P344" i="1"/>
  <c r="P348" i="1"/>
  <c r="P352" i="1"/>
  <c r="P356" i="1"/>
  <c r="Q3" i="1"/>
  <c r="Q4" i="1"/>
  <c r="Q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P347" i="1" l="1"/>
  <c r="X347" i="1" s="1"/>
  <c r="P323" i="1"/>
  <c r="X323" i="1" s="1"/>
  <c r="X227" i="1"/>
  <c r="X219" i="1"/>
  <c r="X211" i="1"/>
  <c r="X203" i="1"/>
  <c r="X195" i="1"/>
  <c r="X187" i="1"/>
  <c r="X179" i="1"/>
  <c r="X171" i="1"/>
  <c r="X163" i="1"/>
  <c r="X155" i="1"/>
  <c r="X147" i="1"/>
  <c r="X139" i="1"/>
  <c r="X131" i="1"/>
  <c r="X123" i="1"/>
  <c r="X115" i="1"/>
  <c r="X107" i="1"/>
  <c r="X99" i="1"/>
  <c r="X91" i="1"/>
  <c r="X83" i="1"/>
  <c r="X75" i="1"/>
  <c r="X67" i="1"/>
  <c r="X59" i="1"/>
  <c r="X51" i="1"/>
  <c r="X43" i="1"/>
  <c r="X35" i="1"/>
  <c r="X27" i="1"/>
  <c r="X355" i="1"/>
  <c r="X339" i="1"/>
  <c r="X331" i="1"/>
  <c r="X315" i="1"/>
  <c r="X307" i="1"/>
  <c r="X299" i="1"/>
  <c r="X291" i="1"/>
  <c r="X283" i="1"/>
  <c r="X275" i="1"/>
  <c r="X267" i="1"/>
  <c r="X259" i="1"/>
  <c r="X251" i="1"/>
  <c r="X243" i="1"/>
  <c r="X235" i="1"/>
  <c r="P4" i="1"/>
  <c r="P3" i="1"/>
  <c r="X356" i="1"/>
  <c r="X352" i="1"/>
  <c r="X348" i="1"/>
  <c r="X351" i="1"/>
  <c r="X343" i="1"/>
  <c r="X335" i="1"/>
  <c r="X327" i="1"/>
  <c r="X319" i="1"/>
  <c r="X311" i="1"/>
  <c r="X303" i="1"/>
  <c r="X295" i="1"/>
  <c r="X287" i="1"/>
  <c r="X279" i="1"/>
  <c r="X271" i="1"/>
  <c r="X263" i="1"/>
  <c r="X255" i="1"/>
  <c r="X247" i="1"/>
  <c r="X239" i="1"/>
  <c r="X231" i="1"/>
  <c r="X223" i="1"/>
  <c r="X215" i="1"/>
  <c r="X207" i="1"/>
  <c r="X199" i="1"/>
  <c r="X191" i="1"/>
  <c r="X183" i="1"/>
  <c r="X175" i="1"/>
  <c r="X167" i="1"/>
  <c r="X159" i="1"/>
  <c r="X151" i="1"/>
  <c r="X143" i="1"/>
  <c r="X135" i="1"/>
  <c r="X127" i="1"/>
  <c r="X119" i="1"/>
  <c r="X111" i="1"/>
  <c r="X103" i="1"/>
  <c r="X95" i="1"/>
  <c r="X87" i="1"/>
  <c r="X79" i="1"/>
  <c r="X71" i="1"/>
  <c r="X63" i="1"/>
  <c r="X55" i="1"/>
  <c r="X47" i="1"/>
  <c r="X39" i="1"/>
  <c r="X31" i="1"/>
  <c r="P5" i="1"/>
  <c r="P354" i="1"/>
  <c r="X354" i="1" s="1"/>
  <c r="P350" i="1"/>
  <c r="X350" i="1"/>
  <c r="P346" i="1"/>
  <c r="X346" i="1" s="1"/>
  <c r="P342" i="1"/>
  <c r="X342" i="1"/>
  <c r="P338" i="1"/>
  <c r="X338" i="1" s="1"/>
  <c r="P334" i="1"/>
  <c r="X334" i="1" s="1"/>
  <c r="P330" i="1"/>
  <c r="X330" i="1" s="1"/>
  <c r="P326" i="1"/>
  <c r="X326" i="1" s="1"/>
  <c r="P322" i="1"/>
  <c r="X322" i="1" s="1"/>
  <c r="P318" i="1"/>
  <c r="X318" i="1" s="1"/>
  <c r="P314" i="1"/>
  <c r="X314" i="1" s="1"/>
  <c r="P310" i="1"/>
  <c r="X310" i="1" s="1"/>
  <c r="P306" i="1"/>
  <c r="X306" i="1" s="1"/>
  <c r="P302" i="1"/>
  <c r="X302" i="1" s="1"/>
  <c r="P298" i="1"/>
  <c r="X298" i="1" s="1"/>
  <c r="P294" i="1"/>
  <c r="X294" i="1" s="1"/>
  <c r="P290" i="1"/>
  <c r="X290" i="1" s="1"/>
  <c r="P286" i="1"/>
  <c r="X286" i="1" s="1"/>
  <c r="P282" i="1"/>
  <c r="X282" i="1" s="1"/>
  <c r="P278" i="1"/>
  <c r="X278" i="1" s="1"/>
  <c r="P274" i="1"/>
  <c r="X274" i="1" s="1"/>
  <c r="P270" i="1"/>
  <c r="X270" i="1" s="1"/>
  <c r="P266" i="1"/>
  <c r="X266" i="1" s="1"/>
  <c r="P353" i="1"/>
  <c r="X353" i="1" s="1"/>
  <c r="P349" i="1"/>
  <c r="X349" i="1" s="1"/>
  <c r="P345" i="1"/>
  <c r="X345" i="1" s="1"/>
  <c r="P341" i="1"/>
  <c r="X341" i="1" s="1"/>
  <c r="P337" i="1"/>
  <c r="X337" i="1" s="1"/>
  <c r="P333" i="1"/>
  <c r="X333" i="1" s="1"/>
  <c r="P329" i="1"/>
  <c r="X329" i="1" s="1"/>
  <c r="P325" i="1"/>
  <c r="X325" i="1" s="1"/>
  <c r="P321" i="1"/>
  <c r="X321" i="1" s="1"/>
  <c r="P317" i="1"/>
  <c r="X317" i="1" s="1"/>
  <c r="P313" i="1"/>
  <c r="X313" i="1" s="1"/>
  <c r="P309" i="1"/>
  <c r="X309" i="1" s="1"/>
  <c r="P305" i="1"/>
  <c r="X305" i="1" s="1"/>
  <c r="P301" i="1"/>
  <c r="X301" i="1" s="1"/>
  <c r="P297" i="1"/>
  <c r="X297" i="1" s="1"/>
  <c r="P293" i="1"/>
  <c r="X293" i="1" s="1"/>
  <c r="P289" i="1"/>
  <c r="X289" i="1" s="1"/>
  <c r="P285" i="1"/>
  <c r="X285" i="1" s="1"/>
  <c r="P281" i="1"/>
  <c r="X281" i="1" s="1"/>
  <c r="P277" i="1"/>
  <c r="X277" i="1" s="1"/>
  <c r="P273" i="1"/>
  <c r="X273" i="1" s="1"/>
  <c r="P269" i="1"/>
  <c r="X269" i="1" s="1"/>
  <c r="P265" i="1"/>
  <c r="X265" i="1" s="1"/>
  <c r="P261" i="1"/>
  <c r="X261" i="1" s="1"/>
  <c r="P257" i="1"/>
  <c r="X257" i="1" s="1"/>
  <c r="P253" i="1"/>
  <c r="X253" i="1" s="1"/>
  <c r="P249" i="1"/>
  <c r="X249" i="1" s="1"/>
  <c r="P245" i="1"/>
  <c r="X245" i="1" s="1"/>
  <c r="P241" i="1"/>
  <c r="X241" i="1" s="1"/>
  <c r="P237" i="1"/>
  <c r="X237" i="1" s="1"/>
  <c r="P233" i="1"/>
  <c r="X233" i="1" s="1"/>
  <c r="P229" i="1"/>
  <c r="X229" i="1" s="1"/>
  <c r="P225" i="1"/>
  <c r="X225" i="1" s="1"/>
  <c r="P221" i="1"/>
  <c r="X221" i="1" s="1"/>
  <c r="P217" i="1"/>
  <c r="X217" i="1" s="1"/>
  <c r="P213" i="1"/>
  <c r="X213" i="1" s="1"/>
  <c r="P209" i="1"/>
  <c r="X209" i="1" s="1"/>
  <c r="P205" i="1"/>
  <c r="X205" i="1" s="1"/>
  <c r="P201" i="1"/>
  <c r="X201" i="1" s="1"/>
  <c r="P197" i="1"/>
  <c r="X197" i="1" s="1"/>
  <c r="P193" i="1"/>
  <c r="X193" i="1" s="1"/>
  <c r="P189" i="1"/>
  <c r="X189" i="1" s="1"/>
  <c r="P185" i="1"/>
  <c r="X185" i="1" s="1"/>
  <c r="P181" i="1"/>
  <c r="X181" i="1" s="1"/>
  <c r="P177" i="1"/>
  <c r="X177" i="1" s="1"/>
  <c r="P173" i="1"/>
  <c r="X173" i="1" s="1"/>
  <c r="P169" i="1"/>
  <c r="X169" i="1" s="1"/>
  <c r="P165" i="1"/>
  <c r="X165" i="1" s="1"/>
  <c r="P161" i="1"/>
  <c r="X161" i="1" s="1"/>
  <c r="P157" i="1"/>
  <c r="X157" i="1" s="1"/>
  <c r="X9" i="1"/>
  <c r="X344" i="1"/>
  <c r="X340" i="1"/>
  <c r="X336" i="1"/>
  <c r="X332" i="1"/>
  <c r="X328" i="1"/>
  <c r="X324" i="1"/>
  <c r="X320" i="1"/>
  <c r="X316" i="1"/>
  <c r="X312" i="1"/>
  <c r="X308" i="1"/>
  <c r="X304" i="1"/>
  <c r="X300" i="1"/>
  <c r="X296" i="1"/>
  <c r="X292" i="1"/>
  <c r="X288" i="1"/>
  <c r="X284" i="1"/>
  <c r="X280" i="1"/>
  <c r="X276" i="1"/>
  <c r="X272" i="1"/>
  <c r="X268" i="1"/>
  <c r="X264" i="1"/>
  <c r="X260" i="1"/>
  <c r="X256" i="1"/>
  <c r="X252" i="1"/>
  <c r="X248" i="1"/>
  <c r="X244" i="1"/>
  <c r="X240" i="1"/>
  <c r="X236" i="1"/>
  <c r="X232" i="1"/>
  <c r="X228" i="1"/>
  <c r="X224" i="1"/>
  <c r="X220" i="1"/>
  <c r="X216" i="1"/>
  <c r="X212" i="1"/>
  <c r="X208" i="1"/>
  <c r="X204" i="1"/>
  <c r="X200" i="1"/>
  <c r="X196" i="1"/>
  <c r="X192" i="1"/>
  <c r="X188" i="1"/>
  <c r="X184" i="1"/>
  <c r="X180" i="1"/>
  <c r="X176" i="1"/>
  <c r="X172" i="1"/>
  <c r="X168" i="1"/>
  <c r="X164" i="1"/>
  <c r="X160" i="1"/>
  <c r="X156" i="1"/>
  <c r="X152" i="1"/>
  <c r="X148" i="1"/>
  <c r="X144" i="1"/>
  <c r="X140" i="1"/>
  <c r="X136" i="1"/>
  <c r="X132" i="1"/>
  <c r="X128" i="1"/>
  <c r="X124" i="1"/>
  <c r="X120" i="1"/>
  <c r="X116" i="1"/>
  <c r="X112" i="1"/>
  <c r="X108" i="1"/>
  <c r="X104" i="1"/>
  <c r="X100" i="1"/>
  <c r="X96" i="1"/>
  <c r="X92" i="1"/>
  <c r="X88" i="1"/>
  <c r="X84" i="1"/>
  <c r="X80" i="1"/>
  <c r="X76" i="1"/>
  <c r="X72" i="1"/>
  <c r="X68" i="1"/>
  <c r="X64" i="1"/>
  <c r="X60" i="1"/>
  <c r="X56" i="1"/>
  <c r="X52" i="1"/>
  <c r="X48" i="1"/>
  <c r="X44" i="1"/>
  <c r="X40" i="1"/>
  <c r="X36" i="1"/>
  <c r="X32" i="1"/>
  <c r="X28" i="1"/>
  <c r="X24" i="1"/>
  <c r="X20" i="1"/>
  <c r="X16" i="1"/>
  <c r="X12" i="1"/>
  <c r="X8" i="1"/>
  <c r="X23" i="1"/>
  <c r="X19" i="1"/>
  <c r="X15" i="1"/>
  <c r="X11" i="1"/>
  <c r="X7" i="1"/>
  <c r="P262" i="1"/>
  <c r="X262" i="1" s="1"/>
  <c r="P258" i="1"/>
  <c r="X258" i="1" s="1"/>
  <c r="P254" i="1"/>
  <c r="X254" i="1" s="1"/>
  <c r="P250" i="1"/>
  <c r="X250" i="1" s="1"/>
  <c r="P246" i="1"/>
  <c r="X246" i="1" s="1"/>
  <c r="P242" i="1"/>
  <c r="X242" i="1" s="1"/>
  <c r="P238" i="1"/>
  <c r="X238" i="1" s="1"/>
  <c r="P234" i="1"/>
  <c r="X234" i="1" s="1"/>
  <c r="P230" i="1"/>
  <c r="X230" i="1" s="1"/>
  <c r="P226" i="1"/>
  <c r="X226" i="1" s="1"/>
  <c r="P222" i="1"/>
  <c r="X222" i="1" s="1"/>
  <c r="P218" i="1"/>
  <c r="X218" i="1" s="1"/>
  <c r="X141" i="1"/>
  <c r="X125" i="1"/>
  <c r="X109" i="1"/>
  <c r="X93" i="1"/>
  <c r="X77" i="1"/>
  <c r="X61" i="1"/>
  <c r="X45" i="1"/>
  <c r="X29" i="1"/>
  <c r="X13" i="1"/>
  <c r="X145" i="1"/>
  <c r="X129" i="1"/>
  <c r="X113" i="1"/>
  <c r="X97" i="1"/>
  <c r="X81" i="1"/>
  <c r="X65" i="1"/>
  <c r="X49" i="1"/>
  <c r="X33" i="1"/>
  <c r="X17" i="1"/>
  <c r="P214" i="1"/>
  <c r="X214" i="1" s="1"/>
  <c r="P210" i="1"/>
  <c r="X210" i="1" s="1"/>
  <c r="P206" i="1"/>
  <c r="X206" i="1" s="1"/>
  <c r="P202" i="1"/>
  <c r="X202" i="1" s="1"/>
  <c r="P198" i="1"/>
  <c r="X198" i="1" s="1"/>
  <c r="P194" i="1"/>
  <c r="X194" i="1" s="1"/>
  <c r="P190" i="1"/>
  <c r="X190" i="1" s="1"/>
  <c r="P186" i="1"/>
  <c r="X186" i="1" s="1"/>
  <c r="P182" i="1"/>
  <c r="X182" i="1" s="1"/>
  <c r="P178" i="1"/>
  <c r="X178" i="1" s="1"/>
  <c r="P174" i="1"/>
  <c r="X174" i="1" s="1"/>
  <c r="P170" i="1"/>
  <c r="X170" i="1" s="1"/>
  <c r="P166" i="1"/>
  <c r="X166" i="1" s="1"/>
  <c r="P162" i="1"/>
  <c r="X162" i="1" s="1"/>
  <c r="P158" i="1"/>
  <c r="X158" i="1" s="1"/>
  <c r="P154" i="1"/>
  <c r="X154" i="1" s="1"/>
  <c r="P150" i="1"/>
  <c r="X150" i="1" s="1"/>
  <c r="P146" i="1"/>
  <c r="X146" i="1" s="1"/>
  <c r="P142" i="1"/>
  <c r="X142" i="1" s="1"/>
  <c r="P138" i="1"/>
  <c r="X138" i="1" s="1"/>
  <c r="P134" i="1"/>
  <c r="X134" i="1" s="1"/>
  <c r="P130" i="1"/>
  <c r="X130" i="1" s="1"/>
  <c r="P126" i="1"/>
  <c r="X126" i="1" s="1"/>
  <c r="P122" i="1"/>
  <c r="X122" i="1" s="1"/>
  <c r="P118" i="1"/>
  <c r="X118" i="1" s="1"/>
  <c r="P114" i="1"/>
  <c r="X114" i="1" s="1"/>
  <c r="P110" i="1"/>
  <c r="X110" i="1" s="1"/>
  <c r="P106" i="1"/>
  <c r="X106" i="1"/>
  <c r="P102" i="1"/>
  <c r="X102" i="1" s="1"/>
  <c r="P98" i="1"/>
  <c r="X98" i="1" s="1"/>
  <c r="P94" i="1"/>
  <c r="X94" i="1" s="1"/>
  <c r="P90" i="1"/>
  <c r="X90" i="1" s="1"/>
  <c r="P86" i="1"/>
  <c r="X86" i="1" s="1"/>
  <c r="P82" i="1"/>
  <c r="X82" i="1" s="1"/>
  <c r="P78" i="1"/>
  <c r="X78" i="1" s="1"/>
  <c r="P74" i="1"/>
  <c r="X74" i="1" s="1"/>
  <c r="P70" i="1"/>
  <c r="X70" i="1" s="1"/>
  <c r="P66" i="1"/>
  <c r="X66" i="1" s="1"/>
  <c r="P62" i="1"/>
  <c r="X62" i="1" s="1"/>
  <c r="P58" i="1"/>
  <c r="X58" i="1" s="1"/>
  <c r="P54" i="1"/>
  <c r="X54" i="1" s="1"/>
  <c r="P50" i="1"/>
  <c r="X50" i="1" s="1"/>
  <c r="P46" i="1"/>
  <c r="X46" i="1" s="1"/>
  <c r="P42" i="1"/>
  <c r="X42" i="1" s="1"/>
  <c r="P38" i="1"/>
  <c r="X38" i="1" s="1"/>
  <c r="P34" i="1"/>
  <c r="X34" i="1" s="1"/>
  <c r="P30" i="1"/>
  <c r="X30" i="1" s="1"/>
  <c r="P26" i="1"/>
  <c r="X26" i="1" s="1"/>
  <c r="P22" i="1"/>
  <c r="X22" i="1" s="1"/>
  <c r="P18" i="1"/>
  <c r="X18" i="1" s="1"/>
  <c r="P14" i="1"/>
  <c r="X14" i="1" s="1"/>
  <c r="P10" i="1"/>
  <c r="X10" i="1" s="1"/>
  <c r="P6" i="1"/>
  <c r="X6" i="1" s="1"/>
  <c r="X149" i="1"/>
  <c r="X133" i="1"/>
  <c r="X117" i="1"/>
  <c r="X101" i="1"/>
  <c r="X85" i="1"/>
  <c r="X69" i="1"/>
  <c r="X53" i="1"/>
  <c r="X37" i="1"/>
  <c r="X21" i="1"/>
  <c r="X153" i="1"/>
  <c r="X137" i="1"/>
  <c r="X121" i="1"/>
  <c r="X105" i="1"/>
  <c r="X89" i="1"/>
  <c r="X73" i="1"/>
  <c r="X57" i="1"/>
  <c r="X41" i="1"/>
  <c r="X25" i="1"/>
  <c r="N5" i="1"/>
  <c r="X5" i="1" s="1"/>
  <c r="N4" i="1"/>
  <c r="X4" i="1" s="1"/>
  <c r="N3" i="1"/>
  <c r="Q2" i="1"/>
  <c r="N2" i="1"/>
  <c r="X3" i="1" l="1"/>
  <c r="P2" i="1"/>
  <c r="X2" i="1" s="1"/>
</calcChain>
</file>

<file path=xl/sharedStrings.xml><?xml version="1.0" encoding="utf-8"?>
<sst xmlns="http://schemas.openxmlformats.org/spreadsheetml/2006/main" count="2635" uniqueCount="235">
  <si>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</si>
  <si>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</si>
  <si>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</si>
  <si>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</si>
  <si>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</si>
  <si>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</si>
  <si>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</si>
  <si>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</si>
  <si>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</si>
  <si>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</si>
  <si>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</si>
  <si>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</si>
  <si>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</si>
  <si>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</si>
  <si>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</si>
  <si>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</si>
  <si>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</si>
  <si>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</si>
  <si>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</si>
  <si>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</si>
  <si>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</si>
  <si>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</si>
  <si>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</si>
  <si>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</si>
  <si>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</si>
  <si>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</si>
  <si>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</si>
  <si>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SN002</t>
  </si>
  <si>
    <t>KG</t>
  </si>
  <si>
    <t>Customer Address</t>
  </si>
  <si>
    <t>Customer Type</t>
  </si>
  <si>
    <t>01/07/2026</t>
  </si>
  <si>
    <t>Ali Kiryana Store</t>
  </si>
  <si>
    <t>WAQAR K/S</t>
  </si>
  <si>
    <t>FatimaPH</t>
  </si>
  <si>
    <t>AL REHMAN</t>
  </si>
  <si>
    <t>Kamran gs</t>
  </si>
  <si>
    <t>HamzaGS2</t>
  </si>
  <si>
    <t>CityPharmacy</t>
  </si>
  <si>
    <t>Abid ks</t>
  </si>
  <si>
    <t>TAHIRkaryana</t>
  </si>
  <si>
    <t>SHEHZADkaryana</t>
  </si>
  <si>
    <t>SHAHGkaryana</t>
  </si>
  <si>
    <t>DHQ Canteen</t>
  </si>
  <si>
    <t>ShahNawazKaryana</t>
  </si>
  <si>
    <t>SAMIGENERAL</t>
  </si>
  <si>
    <t>M.Dkaryana</t>
  </si>
  <si>
    <t>KHATTAKkaryana</t>
  </si>
  <si>
    <t>JANNATGULLkaryana</t>
  </si>
  <si>
    <t>HAFIZ K/S</t>
  </si>
  <si>
    <t>ChachKaryana</t>
  </si>
  <si>
    <t>BABARkaryana</t>
  </si>
  <si>
    <t>AWANkaryana</t>
  </si>
  <si>
    <t>AWANgeneral</t>
  </si>
  <si>
    <t>AFZALTUK SHOP</t>
  </si>
  <si>
    <t>ADEELkaryana</t>
  </si>
  <si>
    <t>ABIDkaryana</t>
  </si>
  <si>
    <t>Al Madina gs</t>
  </si>
  <si>
    <t>786karyana</t>
  </si>
  <si>
    <t>BestChoice</t>
  </si>
  <si>
    <t>Masood Wholesaler</t>
  </si>
  <si>
    <t>MatheenMshop</t>
  </si>
  <si>
    <t>NASEEM</t>
  </si>
  <si>
    <t>ASHIQ</t>
  </si>
  <si>
    <t>UMAIR K/S</t>
  </si>
  <si>
    <t>ILLAHI K/S</t>
  </si>
  <si>
    <t>AWAIS K/S</t>
  </si>
  <si>
    <t>Shoiabwhole sale</t>
  </si>
  <si>
    <t>Shani  Keryana store</t>
  </si>
  <si>
    <t>Shaker derawhole sale</t>
  </si>
  <si>
    <t>USMAN gs</t>
  </si>
  <si>
    <t>Sajawal ks</t>
  </si>
  <si>
    <t>Pervaiz Keryana store</t>
  </si>
  <si>
    <t>PakeezaKeryana store</t>
  </si>
  <si>
    <t>UbaidGeneralStore</t>
  </si>
  <si>
    <t>MufeedKeryana store</t>
  </si>
  <si>
    <t>MalyarKeryana store</t>
  </si>
  <si>
    <t>M.S gs</t>
  </si>
  <si>
    <t>KashanKeryana store</t>
  </si>
  <si>
    <t>JavedKeryana store</t>
  </si>
  <si>
    <t>IrshadKeryana store</t>
  </si>
  <si>
    <t>InsafKeryana store</t>
  </si>
  <si>
    <t>ImranKeryana store</t>
  </si>
  <si>
    <t>HussainKeryana store</t>
  </si>
  <si>
    <t>Hamza Keryana store</t>
  </si>
  <si>
    <t>Haji rab NawazKeryana store</t>
  </si>
  <si>
    <t>Hassnain Ks</t>
  </si>
  <si>
    <t>Ghulam rasul Keryana store</t>
  </si>
  <si>
    <t>ChoudryKeryana store</t>
  </si>
  <si>
    <t>BillalKeryana store</t>
  </si>
  <si>
    <t>AttiqueKeryana store</t>
  </si>
  <si>
    <t>Danish Bakers</t>
  </si>
  <si>
    <t>Raheem ks</t>
  </si>
  <si>
    <t>Naseem gs</t>
  </si>
  <si>
    <t>Bashir gs</t>
  </si>
  <si>
    <t>Zahoor Kiryana Store</t>
  </si>
  <si>
    <t>Haider gs</t>
  </si>
  <si>
    <t>BismillahC&amp;C</t>
  </si>
  <si>
    <t>Shah Jee General Store</t>
  </si>
  <si>
    <t>Farman gs</t>
  </si>
  <si>
    <t>Darya KS</t>
  </si>
  <si>
    <t>Sheikh Usman</t>
  </si>
  <si>
    <t>PapuKaryanaStore</t>
  </si>
  <si>
    <t>Mola BakshGeneral Store</t>
  </si>
  <si>
    <t>Madina Karyana Store</t>
  </si>
  <si>
    <t>Madina General Store</t>
  </si>
  <si>
    <t>HamidCMH</t>
  </si>
  <si>
    <t>M.S Karyana Store</t>
  </si>
  <si>
    <t>Habib G/S</t>
  </si>
  <si>
    <t>SajidCnadyLand</t>
  </si>
  <si>
    <t>M.Usman</t>
  </si>
  <si>
    <t>Jamil Karyana Store</t>
  </si>
  <si>
    <t>Manzoor Elahi  gs</t>
  </si>
  <si>
    <t>Abdul Jalil ks</t>
  </si>
  <si>
    <t>AzeezWholesale</t>
  </si>
  <si>
    <t>Chanar Shah Karyana Store</t>
  </si>
  <si>
    <t>AirUniversityMurtaza</t>
  </si>
  <si>
    <t>Faraz</t>
  </si>
  <si>
    <t>Ali zeyarat Karyana Store</t>
  </si>
  <si>
    <t>Aihtesam Karyana Store</t>
  </si>
  <si>
    <t>Imran Wholesale</t>
  </si>
  <si>
    <t>E&amp;RTraders</t>
  </si>
  <si>
    <t>786 Milk Shop</t>
  </si>
  <si>
    <t>Artillery  Centre</t>
  </si>
  <si>
    <t>MA Printing</t>
  </si>
  <si>
    <t>Gujjar Daries</t>
  </si>
  <si>
    <t>Haji Yousaf And Sons</t>
  </si>
  <si>
    <t>Sultangs</t>
  </si>
  <si>
    <t>MAJID K/S</t>
  </si>
  <si>
    <t>786</t>
  </si>
  <si>
    <t>Ibrahim gs</t>
  </si>
  <si>
    <t>ShahidTukShop</t>
  </si>
  <si>
    <t>Sajjad ks</t>
  </si>
  <si>
    <t>RafiqueMart</t>
  </si>
  <si>
    <t>DostMuhammadKs</t>
  </si>
  <si>
    <t>Matloob Ks</t>
  </si>
  <si>
    <t>Ahmed Keryana store</t>
  </si>
  <si>
    <t>K.DFoods</t>
  </si>
  <si>
    <t>Shiekh Hassan Keryana store</t>
  </si>
  <si>
    <t>BismillahKS</t>
  </si>
  <si>
    <t>Anas Ks</t>
  </si>
  <si>
    <t>FrozenFuel</t>
  </si>
  <si>
    <t>AlJannatBakery</t>
  </si>
  <si>
    <t>PolicewelfareKeryanastore</t>
  </si>
  <si>
    <t>Naqash pharmacy</t>
  </si>
  <si>
    <t>95 gs</t>
  </si>
  <si>
    <t>Hammad Ks</t>
  </si>
  <si>
    <t>Khattak Keryana store</t>
  </si>
  <si>
    <t>Haji ArshadKeryana store</t>
  </si>
  <si>
    <t>Musags</t>
  </si>
  <si>
    <t>RiazTraders</t>
  </si>
  <si>
    <t>MUZAFFARTRADERS</t>
  </si>
  <si>
    <t>Waseem Bakery</t>
  </si>
  <si>
    <t>Shareen MehalBakery</t>
  </si>
  <si>
    <t>RiazSweets&amp;Wholesale</t>
  </si>
  <si>
    <t>AtifWholesale</t>
  </si>
  <si>
    <t>AsadBakery</t>
  </si>
  <si>
    <t>AbdulRahmanTRD</t>
  </si>
  <si>
    <t>Niaz&amp;Sons</t>
  </si>
  <si>
    <t>ShamiWholesale</t>
  </si>
  <si>
    <t>E174376</t>
  </si>
  <si>
    <t>E877654</t>
  </si>
  <si>
    <t>A017138</t>
  </si>
  <si>
    <t>LAYS WAVY BBQ 45G 45X16</t>
  </si>
  <si>
    <t>CHEETOS BITES CHKN VEG 31G 31X16</t>
  </si>
  <si>
    <t>LAYSWAVYBBQ45G45X16</t>
  </si>
  <si>
    <t>LAYSFCHEESE18G18X48</t>
  </si>
  <si>
    <t>LAYSMASALA18G18X48</t>
  </si>
  <si>
    <t>LAYSWAVYBBQ16G16X48</t>
  </si>
  <si>
    <t>LAYSFCHEESE30G30X24</t>
  </si>
  <si>
    <t>LAYSMASALA30G30X24</t>
  </si>
  <si>
    <t>LAYSFCHEESE45G45X16</t>
  </si>
  <si>
    <t>LAYSMASALA45G45X16</t>
  </si>
  <si>
    <t>LAYSSALT45G45X16</t>
  </si>
  <si>
    <t>KURKURETOOFAANIMIRCH34G34X32</t>
  </si>
  <si>
    <t>KURKUREREDCHILI56G56X20</t>
  </si>
  <si>
    <t>KURKURECHUTNEYCHASKA34G34X32</t>
  </si>
  <si>
    <t>LAYSY&amp;H29G29X24</t>
  </si>
  <si>
    <t>LAYSY&amp;H43G43X16</t>
  </si>
  <si>
    <t>LAYSY&amp;H116G116X12</t>
  </si>
  <si>
    <t>LAYS PAPRIKA 18G 18X48</t>
  </si>
  <si>
    <t>LAYS F CHEESE 30G 30X24</t>
  </si>
  <si>
    <t>LAYS MASALA 30G 30X24</t>
  </si>
  <si>
    <t>LAYS SALT 30G 30X24</t>
  </si>
  <si>
    <t>LAYS MASALA 45G 45X16</t>
  </si>
  <si>
    <t>CHEETOS CRUN RFH 36G 36X24</t>
  </si>
  <si>
    <t>KURKURE CHUTNEY CHASKA 34G 34X32</t>
  </si>
  <si>
    <t>KURKURE MASTI SHOTS MASALA 18G 18X36</t>
  </si>
  <si>
    <t>LAYS Y&amp;H 29G 29X24</t>
  </si>
  <si>
    <t>LAYS Y&amp;H 43G 43X16</t>
  </si>
  <si>
    <t>LAYSPAPRIKA11G11X80</t>
  </si>
  <si>
    <t>CHEETOSOCEANSAFARI11G11X64</t>
  </si>
  <si>
    <t>KURKURECHUTNEYCHASKA56G56X20</t>
  </si>
  <si>
    <t>CHEETOSCRUNRFH36G36X24</t>
  </si>
  <si>
    <t>KURKURECHUTNEYCHASKA14G14X60</t>
  </si>
  <si>
    <t>LAYS F CHEESE 45G 45X16</t>
  </si>
  <si>
    <t>LAYS SALT 45G 45X16</t>
  </si>
  <si>
    <t>CHEETOS BITES CHKN VEG 11G 11X64</t>
  </si>
  <si>
    <t>CHEETOS OCEAN SAFARI 11G 11X64</t>
  </si>
  <si>
    <t>KURKURE TOOFAANI MIRCH 34G 34X32</t>
  </si>
  <si>
    <t>KURKURE RED CHILI 56G 56X20</t>
  </si>
  <si>
    <t>LAYS MAXX SPICY KIMCHI 36G 36X16</t>
  </si>
  <si>
    <t>KURKURE CHUTNEY CHASKA 14G 14X60</t>
  </si>
  <si>
    <t>CHEETOS KETCHUP 11G 11X64</t>
  </si>
  <si>
    <t>LAYS WAVY BBQ 16G 16X48</t>
  </si>
  <si>
    <t>LAYS F CHEESE 72G 72X12</t>
  </si>
  <si>
    <t>LAYS MAXX SPICY KIMCHI 56G 56X12</t>
  </si>
  <si>
    <t>LAYS Y&amp;H 116G 116X12</t>
  </si>
  <si>
    <t>KURKURE MASTI SHOTS MASALA 11G 11X64</t>
  </si>
  <si>
    <t>KURKURE CHUTNEY CHASKA 56G 56X20</t>
  </si>
  <si>
    <t>LAYSFCHEESE72G72X12</t>
  </si>
  <si>
    <t>LAYSFCHEESE11G11X80</t>
  </si>
  <si>
    <t>LAYSY&amp;H11G11X80</t>
  </si>
  <si>
    <t>KURKUREMASTISHOTSMASALA11G11X64</t>
  </si>
  <si>
    <t>LAYS SALT 72G 72X12</t>
  </si>
  <si>
    <t>LAYS SALT 18G 18X48</t>
  </si>
  <si>
    <t>LAYS Y&amp;H 11G 11X80</t>
  </si>
  <si>
    <t>LAYSSALT72G72X12</t>
  </si>
  <si>
    <t>CHEETOSBITESCHKNVEG31G31X16</t>
  </si>
  <si>
    <t>KURKUREMASTISHOTSMASALA18G18X36</t>
  </si>
  <si>
    <t>LAYSMASALA11G11X80</t>
  </si>
  <si>
    <t>LAYSSALT11G11X80</t>
  </si>
  <si>
    <t>LAYSSALT18G18X48</t>
  </si>
  <si>
    <t>CHEETOSBITESCHKNVEG11G11X64</t>
  </si>
  <si>
    <t>CHEETOSCRUNRFH82G82X12</t>
  </si>
  <si>
    <t>LAYSMAXXSIGNATURECHEESE36G36X16</t>
  </si>
  <si>
    <t>KURKUREREDCHILI34G34X32</t>
  </si>
  <si>
    <t>KURKUREREDCHILI14G14X60</t>
  </si>
  <si>
    <t>CHEETOS CRUN RFH 82G 82X12</t>
  </si>
  <si>
    <t>KURKURETOOFANIMIRCH14G14X60</t>
  </si>
  <si>
    <t>LAYS MASALA 11G 11X80</t>
  </si>
  <si>
    <t>LAYS MASALA 18G 18X48</t>
  </si>
  <si>
    <t>UnRegistered</t>
  </si>
  <si>
    <t>1905-9000</t>
  </si>
  <si>
    <t>Attock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</si>
</sst>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0.0000"/>
  </numFmts>
  <fonts count="7" x14ac:knownFonts="1">
    <font>
      <sz val="10"/>
      <color rgb="FF000000"/>
      <name val="Arial"/>
      <scheme val="minor"/>
    </font>
    <font>
      <sz val="18"/>
      <color theme="1"/>
      <name val="Arial"/>
      <family val="2"/>
    </font>
    <font>
      <sz val="18"/>
      <color theme="1"/>
      <name val="Arial"/>
      <family val="2"/>
      <scheme val="minor"/>
    </font>
    <font>
      <sz val="18"/>
      <color rgb="FF000000"/>
      <name val="Arial"/>
      <family val="2"/>
      <scheme val="minor"/>
    </font>
    <font>
      <sz val="22"/>
      <color theme="1"/>
      <name val="Arial"/>
      <family val="2"/>
    </font>
    <font>
      <sz val="22"/>
      <color theme="1"/>
      <name val="Arial"/>
      <family val="2"/>
      <scheme val="minor"/>
    </font>
    <font>
      <sz val="2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356"/>
  <sheetViews>
    <sheetView tabSelected="1"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9" sqref="B9"/>
    </sheetView>
  </sheetViews>
  <sheetFormatPr defaultColWidth="12.5703125" defaultRowHeight="33.75" customHeight="1" x14ac:dyDescent="0.35"/>
  <cols>
    <col min="1" max="1" width="18.7109375" style="4" bestFit="1" customWidth="1"/>
    <col min="2" max="2" width="25.5703125" style="4" bestFit="1" customWidth="1"/>
    <col min="3" max="3" width="19" style="4" bestFit="1" customWidth="1"/>
    <col min="4" max="4" width="48.28515625" style="4" bestFit="1" customWidth="1"/>
    <col min="5" max="5" width="30.5703125" style="4" bestFit="1" customWidth="1"/>
    <col min="6" max="6" width="50.7109375" style="4" bestFit="1" customWidth="1"/>
    <col min="7" max="7" width="19.28515625" style="4" bestFit="1" customWidth="1"/>
    <col min="8" max="8" width="76.42578125" style="4" bestFit="1" customWidth="1"/>
    <col min="9" max="9" width="35.7109375" style="4" bestFit="1" customWidth="1"/>
    <col min="10" max="10" width="23.7109375" style="4" bestFit="1" customWidth="1"/>
    <col min="11" max="11" width="17.5703125" style="4" bestFit="1" customWidth="1"/>
    <col min="12" max="12" width="18.5703125" style="4" bestFit="1" customWidth="1"/>
    <col min="13" max="13" width="23.85546875" style="4" bestFit="1" customWidth="1"/>
    <col min="14" max="14" width="22.42578125" style="4" bestFit="1" customWidth="1"/>
    <col min="15" max="15" width="19.42578125" style="4" bestFit="1" customWidth="1"/>
    <col min="16" max="16" width="30.85546875" style="4" bestFit="1" customWidth="1"/>
    <col min="17" max="17" width="32.42578125" style="4" bestFit="1" customWidth="1"/>
    <col min="18" max="18" width="22.7109375" style="4" bestFit="1" customWidth="1"/>
    <col min="19" max="19" width="31.42578125" style="4" bestFit="1" customWidth="1"/>
    <col min="20" max="20" width="25" style="4" bestFit="1" customWidth="1"/>
    <col min="21" max="21" width="35.140625" style="4" bestFit="1" customWidth="1"/>
    <col min="22" max="22" width="46" style="4" bestFit="1" customWidth="1"/>
    <col min="23" max="23" width="34.7109375" style="4" bestFit="1" customWidth="1"/>
    <col min="24" max="24" width="27.7109375" style="4" bestFit="1" customWidth="1"/>
    <col min="25" max="25" width="33.140625" style="4" bestFit="1" customWidth="1"/>
    <col min="26" max="26" width="23.140625" style="4" bestFit="1" customWidth="1"/>
    <col min="27" max="27" width="32.7109375" style="4" bestFit="1" customWidth="1"/>
    <col min="28" max="28" width="38.140625" style="4" bestFit="1" customWidth="1"/>
    <col min="29" max="29" width="31.42578125" style="4" bestFit="1" customWidth="1"/>
    <col min="30" max="16384" width="12.5703125" style="4"/>
  </cols>
  <sheetData>
    <row r="1" spans="1:29" s="12" customFormat="1" ht="33.75" customHeight="1" x14ac:dyDescent="0.2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11" t="s">
        <v>26</v>
      </c>
      <c r="AB1" s="11" t="s">
        <v>29</v>
      </c>
      <c r="AC1" s="11" t="s">
        <v>30</v>
      </c>
    </row>
    <row r="2" spans="1:29" ht="33.75" customHeight="1" x14ac:dyDescent="0.35">
      <c r="A2" s="5" t="s">
        <v>31</v>
      </c>
      <c r="B2" s="2">
        <v>26055411</v>
      </c>
      <c r="C2" s="1" t="s">
        <v>27</v>
      </c>
      <c r="D2" s="1" t="s">
        <v>32</v>
      </c>
      <c r="E2" s="6"/>
      <c r="F2" s="7">
        <v>9999999</v>
      </c>
      <c r="G2" s="13">
        <v>2005.2</v>
      </c>
      <c r="H2" s="4" t="s">
        <v>163</v>
      </c>
      <c r="I2" s="1"/>
      <c r="J2" s="1" t="s">
        <v>28</v>
      </c>
      <c r="K2" s="6">
        <v>4.4999999999999998E-2</v>
      </c>
      <c r="L2" s="6">
        <v>52</v>
      </c>
      <c r="M2" s="6">
        <v>18</v>
      </c>
      <c r="N2" s="6">
        <f t="shared" ref="N2:N65" si="0">K2*L2*(M2%)</f>
        <v>0.42119999999999996</v>
      </c>
      <c r="O2" s="1">
        <v>4</v>
      </c>
      <c r="P2" s="1">
        <f>Q2*4/100</f>
        <v>9.3599999999999989E-2</v>
      </c>
      <c r="Q2" s="6">
        <f t="shared" ref="Q2:Q65" si="1">K2*L2</f>
        <v>2.34</v>
      </c>
      <c r="R2" s="6"/>
      <c r="S2" s="6"/>
      <c r="T2" s="6"/>
      <c r="U2" s="6"/>
      <c r="V2" s="6"/>
      <c r="W2" s="6"/>
      <c r="X2" s="6">
        <f>Q2+N2+P2</f>
        <v>2.8547999999999996</v>
      </c>
      <c r="Y2" s="1"/>
      <c r="Z2" s="1"/>
      <c r="AA2" s="3"/>
      <c r="AB2" s="4" t="s">
        <v>234</v>
      </c>
      <c r="AC2" s="4" t="s">
        <v>232</v>
      </c>
    </row>
    <row r="3" spans="1:29" ht="33.75" customHeight="1" x14ac:dyDescent="0.35">
      <c r="A3" s="5" t="s">
        <v>31</v>
      </c>
      <c r="B3" s="2">
        <v>26055412</v>
      </c>
      <c r="C3" s="1" t="s">
        <v>27</v>
      </c>
      <c r="D3" s="1" t="s">
        <v>33</v>
      </c>
      <c r="E3" s="6"/>
      <c r="F3" s="7">
        <v>9999999</v>
      </c>
      <c r="G3" s="6" t="s">
        <v>233</v>
      </c>
      <c r="H3" s="4" t="s">
        <v>164</v>
      </c>
      <c r="I3" s="1"/>
      <c r="J3" s="1" t="s">
        <v>28</v>
      </c>
      <c r="K3" s="6">
        <v>0.496</v>
      </c>
      <c r="L3" s="6">
        <v>609.36479999999995</v>
      </c>
      <c r="M3" s="6">
        <v>18</v>
      </c>
      <c r="N3" s="6">
        <f t="shared" si="0"/>
        <v>54.404089343999999</v>
      </c>
      <c r="O3" s="1">
        <v>4</v>
      </c>
      <c r="P3" s="1">
        <f t="shared" ref="P3:P66" si="2">Q3*4/100</f>
        <v>12.089797632</v>
      </c>
      <c r="Q3" s="6">
        <f t="shared" si="1"/>
        <v>302.24494079999999</v>
      </c>
      <c r="R3" s="6"/>
      <c r="S3" s="6"/>
      <c r="T3" s="6"/>
      <c r="U3" s="6"/>
      <c r="V3" s="6"/>
      <c r="W3" s="6"/>
      <c r="X3" s="6">
        <f t="shared" ref="X3:X66" si="3">Q3+N3+P3</f>
        <v>368.73882777599999</v>
      </c>
      <c r="Y3" s="1"/>
      <c r="Z3" s="1"/>
      <c r="AA3" s="3"/>
      <c r="AB3" s="4" t="s">
        <v>234</v>
      </c>
      <c r="AC3" s="4" t="s">
        <v>232</v>
      </c>
    </row>
    <row r="4" spans="1:29" ht="33.75" customHeight="1" x14ac:dyDescent="0.35">
      <c r="A4" s="5" t="s">
        <v>31</v>
      </c>
      <c r="B4" s="2">
        <v>26055413</v>
      </c>
      <c r="C4" s="1" t="s">
        <v>27</v>
      </c>
      <c r="D4" s="1" t="s">
        <v>34</v>
      </c>
      <c r="E4" s="6"/>
      <c r="F4" s="8">
        <v>3710165748653</v>
      </c>
      <c r="G4" s="13">
        <v>2005.2</v>
      </c>
      <c r="H4" s="4" t="s">
        <v>165</v>
      </c>
      <c r="I4" s="1"/>
      <c r="J4" s="1" t="s">
        <v>28</v>
      </c>
      <c r="K4" s="6">
        <v>4.4999999999999998E-2</v>
      </c>
      <c r="L4" s="6">
        <v>52.502200000000002</v>
      </c>
      <c r="M4" s="6">
        <v>18</v>
      </c>
      <c r="N4" s="6">
        <f t="shared" si="0"/>
        <v>0.42526781999999996</v>
      </c>
      <c r="O4" s="1">
        <v>4</v>
      </c>
      <c r="P4" s="1">
        <f t="shared" si="2"/>
        <v>9.4503959999999998E-2</v>
      </c>
      <c r="Q4" s="6">
        <f t="shared" si="1"/>
        <v>2.3625989999999999</v>
      </c>
      <c r="R4" s="6"/>
      <c r="S4" s="6"/>
      <c r="T4" s="6"/>
      <c r="U4" s="6"/>
      <c r="V4" s="6"/>
      <c r="W4" s="6"/>
      <c r="X4" s="6">
        <f t="shared" si="3"/>
        <v>2.8823707799999996</v>
      </c>
      <c r="Y4" s="1"/>
      <c r="Z4" s="1"/>
      <c r="AA4" s="3"/>
      <c r="AB4" s="4" t="s">
        <v>234</v>
      </c>
      <c r="AC4" s="4" t="s">
        <v>232</v>
      </c>
    </row>
    <row r="5" spans="1:29" ht="33.75" customHeight="1" x14ac:dyDescent="0.35">
      <c r="A5" s="5" t="s">
        <v>31</v>
      </c>
      <c r="B5" s="2">
        <v>26055414</v>
      </c>
      <c r="C5" s="1" t="s">
        <v>27</v>
      </c>
      <c r="D5" s="1" t="s">
        <v>35</v>
      </c>
      <c r="E5" s="6"/>
      <c r="F5" s="7">
        <v>9999999</v>
      </c>
      <c r="G5" s="13">
        <v>2005.2</v>
      </c>
      <c r="H5" s="4" t="s">
        <v>163</v>
      </c>
      <c r="I5" s="1"/>
      <c r="J5" s="1" t="s">
        <v>28</v>
      </c>
      <c r="K5" s="6">
        <v>4.4999999999999998E-2</v>
      </c>
      <c r="L5" s="6">
        <v>52.502200000000002</v>
      </c>
      <c r="M5" s="6">
        <v>18</v>
      </c>
      <c r="N5" s="6">
        <f t="shared" si="0"/>
        <v>0.42526781999999996</v>
      </c>
      <c r="O5" s="1">
        <v>4</v>
      </c>
      <c r="P5" s="1">
        <f t="shared" si="2"/>
        <v>9.4503959999999998E-2</v>
      </c>
      <c r="Q5" s="6">
        <f t="shared" si="1"/>
        <v>2.3625989999999999</v>
      </c>
      <c r="R5" s="6"/>
      <c r="S5" s="6"/>
      <c r="T5" s="6"/>
      <c r="U5" s="6"/>
      <c r="V5" s="6"/>
      <c r="W5" s="6"/>
      <c r="X5" s="6">
        <f t="shared" si="3"/>
        <v>2.8823707799999996</v>
      </c>
      <c r="Y5" s="1"/>
      <c r="Z5" s="1"/>
      <c r="AA5" s="3"/>
      <c r="AB5" s="4" t="s">
        <v>234</v>
      </c>
      <c r="AC5" s="4" t="s">
        <v>232</v>
      </c>
    </row>
    <row r="6" spans="1:29" ht="33.75" customHeight="1" x14ac:dyDescent="0.35">
      <c r="A6" s="4" t="s">
        <v>31</v>
      </c>
      <c r="B6" s="4">
        <v>26055415</v>
      </c>
      <c r="C6" s="4" t="s">
        <v>27</v>
      </c>
      <c r="D6" s="4" t="s">
        <v>36</v>
      </c>
      <c r="F6" s="7">
        <v>9999999</v>
      </c>
      <c r="G6" s="13">
        <v>2005.2</v>
      </c>
      <c r="H6" s="4" t="s">
        <v>163</v>
      </c>
      <c r="J6" s="1" t="s">
        <v>28</v>
      </c>
      <c r="K6" s="4">
        <v>4.4999999999999998E-2</v>
      </c>
      <c r="L6" s="4">
        <v>52.502200000000002</v>
      </c>
      <c r="M6" s="6">
        <v>18</v>
      </c>
      <c r="N6" s="6">
        <f t="shared" si="0"/>
        <v>0.42526781999999996</v>
      </c>
      <c r="O6" s="1">
        <v>4</v>
      </c>
      <c r="P6" s="1">
        <f t="shared" si="2"/>
        <v>9.4503959999999998E-2</v>
      </c>
      <c r="Q6" s="6">
        <f t="shared" si="1"/>
        <v>2.3625989999999999</v>
      </c>
      <c r="X6" s="6">
        <f t="shared" si="3"/>
        <v>2.8823707799999996</v>
      </c>
      <c r="AB6" s="4" t="s">
        <v>234</v>
      </c>
      <c r="AC6" s="4" t="s">
        <v>232</v>
      </c>
    </row>
    <row r="7" spans="1:29" ht="33.75" customHeight="1" x14ac:dyDescent="0.35">
      <c r="A7" s="4" t="s">
        <v>31</v>
      </c>
      <c r="B7" s="4">
        <v>26055416</v>
      </c>
      <c r="C7" s="4" t="s">
        <v>27</v>
      </c>
      <c r="D7" s="4" t="s">
        <v>37</v>
      </c>
      <c r="F7" s="8">
        <v>3710117500755</v>
      </c>
      <c r="G7" s="13">
        <v>2005.2</v>
      </c>
      <c r="H7" s="4" t="s">
        <v>166</v>
      </c>
      <c r="J7" s="1" t="s">
        <v>28</v>
      </c>
      <c r="K7" s="4">
        <v>0.86399999999999999</v>
      </c>
      <c r="L7" s="4">
        <v>1040.5093999999999</v>
      </c>
      <c r="M7" s="6">
        <v>18</v>
      </c>
      <c r="N7" s="6">
        <f t="shared" si="0"/>
        <v>161.82002188799999</v>
      </c>
      <c r="O7" s="1">
        <v>4</v>
      </c>
      <c r="P7" s="1">
        <f t="shared" si="2"/>
        <v>35.960004863999998</v>
      </c>
      <c r="Q7" s="6">
        <f t="shared" si="1"/>
        <v>899.00012159999994</v>
      </c>
      <c r="X7" s="6">
        <f t="shared" si="3"/>
        <v>1096.780148352</v>
      </c>
      <c r="AB7" s="4" t="s">
        <v>234</v>
      </c>
      <c r="AC7" s="4" t="s">
        <v>232</v>
      </c>
    </row>
    <row r="8" spans="1:29" ht="33.75" customHeight="1" x14ac:dyDescent="0.35">
      <c r="A8" s="4" t="s">
        <v>31</v>
      </c>
      <c r="B8" s="4">
        <v>26055416</v>
      </c>
      <c r="C8" s="4" t="s">
        <v>27</v>
      </c>
      <c r="D8" s="4" t="s">
        <v>37</v>
      </c>
      <c r="F8" s="8">
        <v>3710117500755</v>
      </c>
      <c r="G8" s="13">
        <v>2005.2</v>
      </c>
      <c r="H8" s="4" t="s">
        <v>167</v>
      </c>
      <c r="J8" s="1" t="s">
        <v>28</v>
      </c>
      <c r="K8" s="4">
        <v>0.86399999999999999</v>
      </c>
      <c r="L8" s="4">
        <v>1040.5093999999999</v>
      </c>
      <c r="M8" s="6">
        <v>18</v>
      </c>
      <c r="N8" s="6">
        <f t="shared" si="0"/>
        <v>161.82002188799999</v>
      </c>
      <c r="O8" s="1">
        <v>4</v>
      </c>
      <c r="P8" s="1">
        <f t="shared" si="2"/>
        <v>35.960004863999998</v>
      </c>
      <c r="Q8" s="6">
        <f t="shared" si="1"/>
        <v>899.00012159999994</v>
      </c>
      <c r="X8" s="6">
        <f t="shared" si="3"/>
        <v>1096.780148352</v>
      </c>
      <c r="AB8" s="4" t="s">
        <v>234</v>
      </c>
      <c r="AC8" s="4" t="s">
        <v>232</v>
      </c>
    </row>
    <row r="9" spans="1:29" ht="33.75" customHeight="1" x14ac:dyDescent="0.35">
      <c r="A9" s="4" t="s">
        <v>31</v>
      </c>
      <c r="B9" s="4">
        <v>26055416</v>
      </c>
      <c r="C9" s="4" t="s">
        <v>27</v>
      </c>
      <c r="D9" s="4" t="s">
        <v>37</v>
      </c>
      <c r="F9" s="8">
        <v>3710117500755</v>
      </c>
      <c r="G9" s="13">
        <v>2005.2</v>
      </c>
      <c r="H9" s="4" t="s">
        <v>168</v>
      </c>
      <c r="J9" s="1" t="s">
        <v>28</v>
      </c>
      <c r="K9" s="4">
        <v>0.76800000000000002</v>
      </c>
      <c r="L9" s="4">
        <v>1050.154</v>
      </c>
      <c r="M9" s="6">
        <v>18</v>
      </c>
      <c r="N9" s="6">
        <f t="shared" si="0"/>
        <v>145.17328896000001</v>
      </c>
      <c r="O9" s="1">
        <v>4</v>
      </c>
      <c r="P9" s="1">
        <f t="shared" si="2"/>
        <v>32.260730880000004</v>
      </c>
      <c r="Q9" s="6">
        <f t="shared" si="1"/>
        <v>806.51827200000002</v>
      </c>
      <c r="X9" s="6">
        <f t="shared" si="3"/>
        <v>983.95229184000004</v>
      </c>
      <c r="AB9" s="4" t="s">
        <v>234</v>
      </c>
      <c r="AC9" s="4" t="s">
        <v>232</v>
      </c>
    </row>
    <row r="10" spans="1:29" ht="33.75" customHeight="1" x14ac:dyDescent="0.35">
      <c r="A10" s="4" t="s">
        <v>31</v>
      </c>
      <c r="B10" s="4">
        <v>26055416</v>
      </c>
      <c r="C10" s="4" t="s">
        <v>27</v>
      </c>
      <c r="D10" s="4" t="s">
        <v>37</v>
      </c>
      <c r="F10" s="8">
        <v>3710117500755</v>
      </c>
      <c r="G10" s="13">
        <v>2005.2</v>
      </c>
      <c r="H10" s="4" t="s">
        <v>169</v>
      </c>
      <c r="J10" s="1" t="s">
        <v>28</v>
      </c>
      <c r="K10" s="4">
        <v>0.72</v>
      </c>
      <c r="L10" s="4">
        <v>869.59640000000002</v>
      </c>
      <c r="M10" s="6">
        <v>18</v>
      </c>
      <c r="N10" s="6">
        <f t="shared" si="0"/>
        <v>112.69969344</v>
      </c>
      <c r="O10" s="1">
        <v>4</v>
      </c>
      <c r="P10" s="1">
        <f t="shared" si="2"/>
        <v>25.044376320000001</v>
      </c>
      <c r="Q10" s="6">
        <f t="shared" si="1"/>
        <v>626.10940800000003</v>
      </c>
      <c r="X10" s="6">
        <f t="shared" si="3"/>
        <v>763.85347776000003</v>
      </c>
      <c r="AB10" s="4" t="s">
        <v>234</v>
      </c>
      <c r="AC10" s="4" t="s">
        <v>232</v>
      </c>
    </row>
    <row r="11" spans="1:29" ht="33.75" customHeight="1" x14ac:dyDescent="0.35">
      <c r="A11" s="4" t="s">
        <v>31</v>
      </c>
      <c r="B11" s="4">
        <v>26055416</v>
      </c>
      <c r="C11" s="4" t="s">
        <v>27</v>
      </c>
      <c r="D11" s="4" t="s">
        <v>37</v>
      </c>
      <c r="F11" s="8">
        <v>3710117500755</v>
      </c>
      <c r="G11" s="13">
        <v>2005.2</v>
      </c>
      <c r="H11" s="4" t="s">
        <v>170</v>
      </c>
      <c r="J11" s="1" t="s">
        <v>28</v>
      </c>
      <c r="K11" s="4">
        <v>0.72</v>
      </c>
      <c r="L11" s="4">
        <v>869.59640000000002</v>
      </c>
      <c r="M11" s="6">
        <v>18</v>
      </c>
      <c r="N11" s="6">
        <f t="shared" si="0"/>
        <v>112.69969344</v>
      </c>
      <c r="O11" s="1">
        <v>4</v>
      </c>
      <c r="P11" s="1">
        <f t="shared" si="2"/>
        <v>25.044376320000001</v>
      </c>
      <c r="Q11" s="6">
        <f t="shared" si="1"/>
        <v>626.10940800000003</v>
      </c>
      <c r="X11" s="6">
        <f t="shared" si="3"/>
        <v>763.85347776000003</v>
      </c>
      <c r="AB11" s="4" t="s">
        <v>234</v>
      </c>
      <c r="AC11" s="4" t="s">
        <v>232</v>
      </c>
    </row>
    <row r="12" spans="1:29" ht="33.75" customHeight="1" x14ac:dyDescent="0.35">
      <c r="A12" s="4" t="s">
        <v>31</v>
      </c>
      <c r="B12" s="4">
        <v>26055416</v>
      </c>
      <c r="C12" s="4" t="s">
        <v>27</v>
      </c>
      <c r="D12" s="4" t="s">
        <v>37</v>
      </c>
      <c r="F12" s="8">
        <v>3710117500755</v>
      </c>
      <c r="G12" s="13">
        <v>2005.2</v>
      </c>
      <c r="H12" s="4" t="s">
        <v>171</v>
      </c>
      <c r="J12" s="1" t="s">
        <v>28</v>
      </c>
      <c r="K12" s="4">
        <v>0.72</v>
      </c>
      <c r="L12" s="4">
        <v>811.58249999999998</v>
      </c>
      <c r="M12" s="6">
        <v>18</v>
      </c>
      <c r="N12" s="6">
        <f t="shared" si="0"/>
        <v>105.18109199999999</v>
      </c>
      <c r="O12" s="1">
        <v>4</v>
      </c>
      <c r="P12" s="1">
        <f t="shared" si="2"/>
        <v>23.373576</v>
      </c>
      <c r="Q12" s="6">
        <f t="shared" si="1"/>
        <v>584.33939999999996</v>
      </c>
      <c r="X12" s="6">
        <f t="shared" si="3"/>
        <v>712.89406799999995</v>
      </c>
      <c r="AB12" s="4" t="s">
        <v>234</v>
      </c>
      <c r="AC12" s="4" t="s">
        <v>232</v>
      </c>
    </row>
    <row r="13" spans="1:29" ht="33.75" customHeight="1" x14ac:dyDescent="0.35">
      <c r="A13" s="4" t="s">
        <v>31</v>
      </c>
      <c r="B13" s="4">
        <v>26055416</v>
      </c>
      <c r="C13" s="4" t="s">
        <v>27</v>
      </c>
      <c r="D13" s="4" t="s">
        <v>37</v>
      </c>
      <c r="F13" s="8">
        <v>3710117500755</v>
      </c>
      <c r="G13" s="13">
        <v>2005.2</v>
      </c>
      <c r="H13" s="4" t="s">
        <v>172</v>
      </c>
      <c r="J13" s="1" t="s">
        <v>28</v>
      </c>
      <c r="K13" s="4">
        <v>0.72</v>
      </c>
      <c r="L13" s="4">
        <v>811.58249999999998</v>
      </c>
      <c r="M13" s="6">
        <v>18</v>
      </c>
      <c r="N13" s="6">
        <f t="shared" si="0"/>
        <v>105.18109199999999</v>
      </c>
      <c r="O13" s="1">
        <v>4</v>
      </c>
      <c r="P13" s="1">
        <f t="shared" si="2"/>
        <v>23.373576</v>
      </c>
      <c r="Q13" s="6">
        <f t="shared" si="1"/>
        <v>584.33939999999996</v>
      </c>
      <c r="X13" s="6">
        <f t="shared" si="3"/>
        <v>712.89406799999995</v>
      </c>
      <c r="AB13" s="4" t="s">
        <v>234</v>
      </c>
      <c r="AC13" s="4" t="s">
        <v>232</v>
      </c>
    </row>
    <row r="14" spans="1:29" ht="33.75" customHeight="1" x14ac:dyDescent="0.35">
      <c r="A14" s="4" t="s">
        <v>31</v>
      </c>
      <c r="B14" s="4">
        <v>26055416</v>
      </c>
      <c r="C14" s="4" t="s">
        <v>27</v>
      </c>
      <c r="D14" s="4" t="s">
        <v>37</v>
      </c>
      <c r="F14" s="8">
        <v>3710117500755</v>
      </c>
      <c r="G14" s="13">
        <v>2005.2</v>
      </c>
      <c r="H14" s="4" t="s">
        <v>173</v>
      </c>
      <c r="J14" s="1" t="s">
        <v>28</v>
      </c>
      <c r="K14" s="4">
        <v>0.72</v>
      </c>
      <c r="L14" s="4">
        <v>811.58249999999998</v>
      </c>
      <c r="M14" s="6">
        <v>18</v>
      </c>
      <c r="N14" s="6">
        <f t="shared" si="0"/>
        <v>105.18109199999999</v>
      </c>
      <c r="O14" s="1">
        <v>4</v>
      </c>
      <c r="P14" s="1">
        <f t="shared" si="2"/>
        <v>23.373576</v>
      </c>
      <c r="Q14" s="6">
        <f t="shared" si="1"/>
        <v>584.33939999999996</v>
      </c>
      <c r="X14" s="6">
        <f t="shared" si="3"/>
        <v>712.89406799999995</v>
      </c>
      <c r="AB14" s="4" t="s">
        <v>234</v>
      </c>
      <c r="AC14" s="4" t="s">
        <v>232</v>
      </c>
    </row>
    <row r="15" spans="1:29" ht="33.75" customHeight="1" x14ac:dyDescent="0.35">
      <c r="A15" s="4" t="s">
        <v>31</v>
      </c>
      <c r="B15" s="4">
        <v>26055416</v>
      </c>
      <c r="C15" s="4" t="s">
        <v>27</v>
      </c>
      <c r="D15" s="4" t="s">
        <v>37</v>
      </c>
      <c r="F15" s="8">
        <v>3710117500755</v>
      </c>
      <c r="G15" s="13">
        <v>2005.2</v>
      </c>
      <c r="H15" s="4" t="s">
        <v>165</v>
      </c>
      <c r="J15" s="1" t="s">
        <v>28</v>
      </c>
      <c r="K15" s="4">
        <v>0.72</v>
      </c>
      <c r="L15" s="4">
        <v>806.43380000000002</v>
      </c>
      <c r="M15" s="6">
        <v>18</v>
      </c>
      <c r="N15" s="6">
        <f t="shared" si="0"/>
        <v>104.51382047999999</v>
      </c>
      <c r="O15" s="1">
        <v>4</v>
      </c>
      <c r="P15" s="1">
        <f t="shared" si="2"/>
        <v>23.225293440000002</v>
      </c>
      <c r="Q15" s="6">
        <f t="shared" si="1"/>
        <v>580.63233600000001</v>
      </c>
      <c r="X15" s="6">
        <f t="shared" si="3"/>
        <v>708.37144991999992</v>
      </c>
      <c r="AB15" s="4" t="s">
        <v>234</v>
      </c>
      <c r="AC15" s="4" t="s">
        <v>232</v>
      </c>
    </row>
    <row r="16" spans="1:29" ht="33.75" customHeight="1" x14ac:dyDescent="0.35">
      <c r="A16" s="4" t="s">
        <v>31</v>
      </c>
      <c r="B16" s="4">
        <v>26055416</v>
      </c>
      <c r="C16" s="4" t="s">
        <v>27</v>
      </c>
      <c r="D16" s="4" t="s">
        <v>37</v>
      </c>
      <c r="F16" s="8">
        <v>3710117500755</v>
      </c>
      <c r="G16" s="6" t="s">
        <v>233</v>
      </c>
      <c r="H16" s="4" t="s">
        <v>174</v>
      </c>
      <c r="J16" s="1" t="s">
        <v>28</v>
      </c>
      <c r="K16" s="4">
        <v>1.0880000000000001</v>
      </c>
      <c r="L16" s="4">
        <v>938.63729999999998</v>
      </c>
      <c r="M16" s="6">
        <v>18</v>
      </c>
      <c r="N16" s="6">
        <f t="shared" si="0"/>
        <v>183.822728832</v>
      </c>
      <c r="O16" s="1">
        <v>4</v>
      </c>
      <c r="P16" s="1">
        <f t="shared" si="2"/>
        <v>40.849495296000001</v>
      </c>
      <c r="Q16" s="6">
        <f t="shared" si="1"/>
        <v>1021.2373824</v>
      </c>
      <c r="X16" s="6">
        <f t="shared" si="3"/>
        <v>1245.909606528</v>
      </c>
      <c r="AB16" s="4" t="s">
        <v>234</v>
      </c>
      <c r="AC16" s="4" t="s">
        <v>232</v>
      </c>
    </row>
    <row r="17" spans="1:29" ht="33.75" customHeight="1" x14ac:dyDescent="0.35">
      <c r="A17" s="4" t="s">
        <v>31</v>
      </c>
      <c r="B17" s="4">
        <v>26055416</v>
      </c>
      <c r="C17" s="4" t="s">
        <v>27</v>
      </c>
      <c r="D17" s="4" t="s">
        <v>37</v>
      </c>
      <c r="F17" s="8">
        <v>3710117500755</v>
      </c>
      <c r="G17" s="6" t="s">
        <v>233</v>
      </c>
      <c r="H17" s="4" t="s">
        <v>175</v>
      </c>
      <c r="J17" s="1" t="s">
        <v>28</v>
      </c>
      <c r="K17" s="4">
        <v>1.1200000000000001</v>
      </c>
      <c r="L17" s="4">
        <v>879.79780000000005</v>
      </c>
      <c r="M17" s="6">
        <v>18</v>
      </c>
      <c r="N17" s="6">
        <f t="shared" si="0"/>
        <v>177.36723648000003</v>
      </c>
      <c r="O17" s="1">
        <v>4</v>
      </c>
      <c r="P17" s="1">
        <f t="shared" si="2"/>
        <v>39.414941440000007</v>
      </c>
      <c r="Q17" s="6">
        <f t="shared" si="1"/>
        <v>985.37353600000017</v>
      </c>
      <c r="X17" s="6">
        <f t="shared" si="3"/>
        <v>1202.1557139200004</v>
      </c>
      <c r="AB17" s="4" t="s">
        <v>234</v>
      </c>
      <c r="AC17" s="4" t="s">
        <v>232</v>
      </c>
    </row>
    <row r="18" spans="1:29" ht="33.75" customHeight="1" x14ac:dyDescent="0.35">
      <c r="A18" s="4" t="s">
        <v>31</v>
      </c>
      <c r="B18" s="4">
        <v>26055416</v>
      </c>
      <c r="C18" s="4" t="s">
        <v>27</v>
      </c>
      <c r="D18" s="4" t="s">
        <v>37</v>
      </c>
      <c r="F18" s="8">
        <v>3710117500755</v>
      </c>
      <c r="G18" s="6" t="s">
        <v>233</v>
      </c>
      <c r="H18" s="4" t="s">
        <v>176</v>
      </c>
      <c r="J18" s="1" t="s">
        <v>28</v>
      </c>
      <c r="K18" s="4">
        <v>1.0880000000000001</v>
      </c>
      <c r="L18" s="4">
        <v>938.63729999999998</v>
      </c>
      <c r="M18" s="6">
        <v>18</v>
      </c>
      <c r="N18" s="6">
        <f t="shared" si="0"/>
        <v>183.822728832</v>
      </c>
      <c r="O18" s="1">
        <v>4</v>
      </c>
      <c r="P18" s="1">
        <f t="shared" si="2"/>
        <v>40.849495296000001</v>
      </c>
      <c r="Q18" s="6">
        <f t="shared" si="1"/>
        <v>1021.2373824</v>
      </c>
      <c r="X18" s="6">
        <f t="shared" si="3"/>
        <v>1245.909606528</v>
      </c>
      <c r="AB18" s="4" t="s">
        <v>234</v>
      </c>
      <c r="AC18" s="4" t="s">
        <v>232</v>
      </c>
    </row>
    <row r="19" spans="1:29" ht="33.75" customHeight="1" x14ac:dyDescent="0.35">
      <c r="A19" s="4" t="s">
        <v>31</v>
      </c>
      <c r="B19" s="4">
        <v>26055416</v>
      </c>
      <c r="C19" s="4" t="s">
        <v>27</v>
      </c>
      <c r="D19" s="4" t="s">
        <v>37</v>
      </c>
      <c r="F19" s="8">
        <v>3710117500755</v>
      </c>
      <c r="G19" s="13">
        <v>2005.2</v>
      </c>
      <c r="H19" s="4" t="s">
        <v>177</v>
      </c>
      <c r="J19" s="1" t="s">
        <v>28</v>
      </c>
      <c r="K19" s="4">
        <v>0.69599999999999995</v>
      </c>
      <c r="L19" s="4">
        <v>869.59640000000002</v>
      </c>
      <c r="M19" s="6">
        <v>18</v>
      </c>
      <c r="N19" s="6">
        <f t="shared" si="0"/>
        <v>108.94303699199999</v>
      </c>
      <c r="O19" s="1">
        <v>4</v>
      </c>
      <c r="P19" s="1">
        <f t="shared" si="2"/>
        <v>24.209563776</v>
      </c>
      <c r="Q19" s="6">
        <f t="shared" si="1"/>
        <v>605.2390944</v>
      </c>
      <c r="X19" s="6">
        <f t="shared" si="3"/>
        <v>738.39169516799996</v>
      </c>
      <c r="AB19" s="4" t="s">
        <v>234</v>
      </c>
      <c r="AC19" s="4" t="s">
        <v>232</v>
      </c>
    </row>
    <row r="20" spans="1:29" ht="33.75" customHeight="1" x14ac:dyDescent="0.35">
      <c r="A20" s="4" t="s">
        <v>31</v>
      </c>
      <c r="B20" s="4">
        <v>26055416</v>
      </c>
      <c r="C20" s="4" t="s">
        <v>27</v>
      </c>
      <c r="D20" s="4" t="s">
        <v>37</v>
      </c>
      <c r="F20" s="8">
        <v>3710117500755</v>
      </c>
      <c r="G20" s="13">
        <v>2005.2</v>
      </c>
      <c r="H20" s="4" t="s">
        <v>178</v>
      </c>
      <c r="J20" s="1" t="s">
        <v>28</v>
      </c>
      <c r="K20" s="4">
        <v>0.68799999999999994</v>
      </c>
      <c r="L20" s="4">
        <v>811.58249999999998</v>
      </c>
      <c r="M20" s="6">
        <v>18</v>
      </c>
      <c r="N20" s="6">
        <f t="shared" si="0"/>
        <v>100.50637679999998</v>
      </c>
      <c r="O20" s="1">
        <v>4</v>
      </c>
      <c r="P20" s="1">
        <f t="shared" si="2"/>
        <v>22.334750399999997</v>
      </c>
      <c r="Q20" s="6">
        <f t="shared" si="1"/>
        <v>558.36875999999995</v>
      </c>
      <c r="X20" s="6">
        <f t="shared" si="3"/>
        <v>681.20988719999991</v>
      </c>
      <c r="AB20" s="4" t="s">
        <v>234</v>
      </c>
      <c r="AC20" s="4" t="s">
        <v>232</v>
      </c>
    </row>
    <row r="21" spans="1:29" ht="33.75" customHeight="1" x14ac:dyDescent="0.35">
      <c r="A21" s="4" t="s">
        <v>31</v>
      </c>
      <c r="B21" s="4">
        <v>26055416</v>
      </c>
      <c r="C21" s="4" t="s">
        <v>27</v>
      </c>
      <c r="D21" s="4" t="s">
        <v>37</v>
      </c>
      <c r="F21" s="8">
        <v>3710117500755</v>
      </c>
      <c r="G21" s="13">
        <v>2005.2</v>
      </c>
      <c r="H21" s="4" t="s">
        <v>179</v>
      </c>
      <c r="J21" s="1" t="s">
        <v>28</v>
      </c>
      <c r="K21" s="4">
        <v>1.3919999999999999</v>
      </c>
      <c r="L21" s="4">
        <v>1299.1277</v>
      </c>
      <c r="M21" s="6">
        <v>18</v>
      </c>
      <c r="N21" s="6">
        <f t="shared" si="0"/>
        <v>325.50943651199998</v>
      </c>
      <c r="O21" s="1">
        <v>4</v>
      </c>
      <c r="P21" s="1">
        <f t="shared" si="2"/>
        <v>72.335430336000002</v>
      </c>
      <c r="Q21" s="6">
        <f t="shared" si="1"/>
        <v>1808.3857584</v>
      </c>
      <c r="X21" s="6">
        <f t="shared" si="3"/>
        <v>2206.2306252480003</v>
      </c>
      <c r="AB21" s="4" t="s">
        <v>234</v>
      </c>
      <c r="AC21" s="4" t="s">
        <v>232</v>
      </c>
    </row>
    <row r="22" spans="1:29" ht="33.75" customHeight="1" x14ac:dyDescent="0.35">
      <c r="A22" s="4" t="s">
        <v>31</v>
      </c>
      <c r="B22" s="4">
        <v>26055417</v>
      </c>
      <c r="C22" s="4" t="s">
        <v>27</v>
      </c>
      <c r="D22" s="4" t="s">
        <v>38</v>
      </c>
      <c r="F22" s="8">
        <v>6110102854313</v>
      </c>
      <c r="G22" s="6" t="s">
        <v>233</v>
      </c>
      <c r="H22" s="4" t="s">
        <v>176</v>
      </c>
      <c r="J22" s="1" t="s">
        <v>28</v>
      </c>
      <c r="K22" s="4">
        <v>1.0880000000000001</v>
      </c>
      <c r="L22" s="4">
        <v>938.63729999999998</v>
      </c>
      <c r="M22" s="6">
        <v>18</v>
      </c>
      <c r="N22" s="6">
        <f t="shared" si="0"/>
        <v>183.822728832</v>
      </c>
      <c r="O22" s="1">
        <v>4</v>
      </c>
      <c r="P22" s="1">
        <f t="shared" si="2"/>
        <v>40.849495296000001</v>
      </c>
      <c r="Q22" s="6">
        <f t="shared" si="1"/>
        <v>1021.2373824</v>
      </c>
      <c r="X22" s="6">
        <f t="shared" si="3"/>
        <v>1245.909606528</v>
      </c>
      <c r="AB22" s="4" t="s">
        <v>234</v>
      </c>
      <c r="AC22" s="4" t="s">
        <v>232</v>
      </c>
    </row>
    <row r="23" spans="1:29" ht="33.75" customHeight="1" x14ac:dyDescent="0.35">
      <c r="A23" s="4" t="s">
        <v>31</v>
      </c>
      <c r="B23" s="4">
        <v>26055419</v>
      </c>
      <c r="C23" s="4" t="s">
        <v>27</v>
      </c>
      <c r="D23" s="4" t="s">
        <v>39</v>
      </c>
      <c r="F23" s="7">
        <v>9999999</v>
      </c>
      <c r="G23" s="13">
        <v>2005.2</v>
      </c>
      <c r="H23" s="4" t="s">
        <v>163</v>
      </c>
      <c r="J23" s="1" t="s">
        <v>28</v>
      </c>
      <c r="K23" s="4">
        <v>4.4999999999999998E-2</v>
      </c>
      <c r="L23" s="4">
        <v>52.502200000000002</v>
      </c>
      <c r="M23" s="6">
        <v>18</v>
      </c>
      <c r="N23" s="6">
        <f t="shared" si="0"/>
        <v>0.42526781999999996</v>
      </c>
      <c r="O23" s="1">
        <v>4</v>
      </c>
      <c r="P23" s="1">
        <f t="shared" si="2"/>
        <v>9.4503959999999998E-2</v>
      </c>
      <c r="Q23" s="6">
        <f t="shared" si="1"/>
        <v>2.3625989999999999</v>
      </c>
      <c r="X23" s="6">
        <f t="shared" si="3"/>
        <v>2.8823707799999996</v>
      </c>
      <c r="AB23" s="4" t="s">
        <v>234</v>
      </c>
      <c r="AC23" s="4" t="s">
        <v>232</v>
      </c>
    </row>
    <row r="24" spans="1:29" ht="33.75" customHeight="1" x14ac:dyDescent="0.35">
      <c r="A24" s="4" t="s">
        <v>31</v>
      </c>
      <c r="B24" s="4">
        <v>26055420</v>
      </c>
      <c r="C24" s="4" t="s">
        <v>27</v>
      </c>
      <c r="D24" s="4" t="s">
        <v>40</v>
      </c>
      <c r="F24" s="7">
        <v>9999999</v>
      </c>
      <c r="G24" s="13">
        <v>2005.2</v>
      </c>
      <c r="H24" s="4" t="s">
        <v>163</v>
      </c>
      <c r="J24" s="1" t="s">
        <v>28</v>
      </c>
      <c r="K24" s="4">
        <v>4.4999999999999998E-2</v>
      </c>
      <c r="L24" s="4">
        <v>52.502200000000002</v>
      </c>
      <c r="M24" s="6">
        <v>18</v>
      </c>
      <c r="N24" s="6">
        <f t="shared" si="0"/>
        <v>0.42526781999999996</v>
      </c>
      <c r="O24" s="1">
        <v>4</v>
      </c>
      <c r="P24" s="1">
        <f t="shared" si="2"/>
        <v>9.4503959999999998E-2</v>
      </c>
      <c r="Q24" s="6">
        <f t="shared" si="1"/>
        <v>2.3625989999999999</v>
      </c>
      <c r="X24" s="6">
        <f t="shared" si="3"/>
        <v>2.8823707799999996</v>
      </c>
      <c r="AB24" s="4" t="s">
        <v>234</v>
      </c>
      <c r="AC24" s="4" t="s">
        <v>232</v>
      </c>
    </row>
    <row r="25" spans="1:29" ht="33.75" customHeight="1" x14ac:dyDescent="0.35">
      <c r="A25" s="4" t="s">
        <v>31</v>
      </c>
      <c r="B25" s="4">
        <v>26055421</v>
      </c>
      <c r="C25" s="4" t="s">
        <v>27</v>
      </c>
      <c r="D25" s="4" t="s">
        <v>41</v>
      </c>
      <c r="F25" s="7">
        <v>9999999</v>
      </c>
      <c r="G25" s="13">
        <v>2005.2</v>
      </c>
      <c r="H25" s="4" t="s">
        <v>163</v>
      </c>
      <c r="J25" s="1" t="s">
        <v>28</v>
      </c>
      <c r="K25" s="4">
        <v>4.4999999999999998E-2</v>
      </c>
      <c r="L25" s="4">
        <v>52.502200000000002</v>
      </c>
      <c r="M25" s="6">
        <v>18</v>
      </c>
      <c r="N25" s="6">
        <f t="shared" si="0"/>
        <v>0.42526781999999996</v>
      </c>
      <c r="O25" s="1">
        <v>4</v>
      </c>
      <c r="P25" s="1">
        <f t="shared" si="2"/>
        <v>9.4503959999999998E-2</v>
      </c>
      <c r="Q25" s="6">
        <f t="shared" si="1"/>
        <v>2.3625989999999999</v>
      </c>
      <c r="X25" s="6">
        <f t="shared" si="3"/>
        <v>2.8823707799999996</v>
      </c>
      <c r="AB25" s="4" t="s">
        <v>234</v>
      </c>
      <c r="AC25" s="4" t="s">
        <v>232</v>
      </c>
    </row>
    <row r="26" spans="1:29" ht="33.75" customHeight="1" x14ac:dyDescent="0.35">
      <c r="A26" s="4" t="s">
        <v>31</v>
      </c>
      <c r="B26" s="4">
        <v>26055422</v>
      </c>
      <c r="C26" s="4" t="s">
        <v>27</v>
      </c>
      <c r="D26" s="4" t="s">
        <v>42</v>
      </c>
      <c r="F26" s="8">
        <v>3710117795705</v>
      </c>
      <c r="G26" s="13">
        <v>2005.2</v>
      </c>
      <c r="H26" s="4" t="s">
        <v>165</v>
      </c>
      <c r="J26" s="1" t="s">
        <v>28</v>
      </c>
      <c r="K26" s="4">
        <v>4.4999999999999998E-2</v>
      </c>
      <c r="L26" s="4">
        <v>51.452199999999998</v>
      </c>
      <c r="M26" s="6">
        <v>18</v>
      </c>
      <c r="N26" s="6">
        <f t="shared" si="0"/>
        <v>0.41676281999999998</v>
      </c>
      <c r="O26" s="1">
        <v>4</v>
      </c>
      <c r="P26" s="1">
        <f t="shared" si="2"/>
        <v>9.2613959999999995E-2</v>
      </c>
      <c r="Q26" s="6">
        <f t="shared" si="1"/>
        <v>2.3153489999999999</v>
      </c>
      <c r="X26" s="6">
        <f t="shared" si="3"/>
        <v>2.8247257800000001</v>
      </c>
      <c r="AB26" s="4" t="s">
        <v>234</v>
      </c>
      <c r="AC26" s="4" t="s">
        <v>232</v>
      </c>
    </row>
    <row r="27" spans="1:29" ht="33.75" customHeight="1" x14ac:dyDescent="0.35">
      <c r="A27" s="4" t="s">
        <v>31</v>
      </c>
      <c r="B27" s="4">
        <v>26055423</v>
      </c>
      <c r="C27" s="4" t="s">
        <v>27</v>
      </c>
      <c r="D27" s="4" t="s">
        <v>43</v>
      </c>
      <c r="F27" s="7">
        <v>9999999</v>
      </c>
      <c r="G27" s="13">
        <v>2005.2</v>
      </c>
      <c r="H27" s="4" t="s">
        <v>180</v>
      </c>
      <c r="J27" s="1" t="s">
        <v>28</v>
      </c>
      <c r="K27" s="4">
        <v>0.86399999999999999</v>
      </c>
      <c r="L27" s="4">
        <v>1040.5093999999999</v>
      </c>
      <c r="M27" s="6">
        <v>18</v>
      </c>
      <c r="N27" s="6">
        <f t="shared" si="0"/>
        <v>161.82002188799999</v>
      </c>
      <c r="O27" s="1">
        <v>4</v>
      </c>
      <c r="P27" s="1">
        <f t="shared" si="2"/>
        <v>35.960004863999998</v>
      </c>
      <c r="Q27" s="6">
        <f t="shared" si="1"/>
        <v>899.00012159999994</v>
      </c>
      <c r="X27" s="6">
        <f t="shared" si="3"/>
        <v>1096.780148352</v>
      </c>
      <c r="AB27" s="4" t="s">
        <v>234</v>
      </c>
      <c r="AC27" s="4" t="s">
        <v>232</v>
      </c>
    </row>
    <row r="28" spans="1:29" ht="33.75" customHeight="1" x14ac:dyDescent="0.35">
      <c r="A28" s="4" t="s">
        <v>31</v>
      </c>
      <c r="B28" s="4">
        <v>26055423</v>
      </c>
      <c r="C28" s="4" t="s">
        <v>27</v>
      </c>
      <c r="D28" s="4" t="s">
        <v>43</v>
      </c>
      <c r="F28" s="7">
        <v>9999999</v>
      </c>
      <c r="G28" s="13">
        <v>2005.2</v>
      </c>
      <c r="H28" s="4" t="s">
        <v>181</v>
      </c>
      <c r="J28" s="1" t="s">
        <v>28</v>
      </c>
      <c r="K28" s="4">
        <v>0.72</v>
      </c>
      <c r="L28" s="4">
        <v>869.59640000000002</v>
      </c>
      <c r="M28" s="6">
        <v>18</v>
      </c>
      <c r="N28" s="6">
        <f t="shared" si="0"/>
        <v>112.69969344</v>
      </c>
      <c r="O28" s="1">
        <v>4</v>
      </c>
      <c r="P28" s="1">
        <f t="shared" si="2"/>
        <v>25.044376320000001</v>
      </c>
      <c r="Q28" s="6">
        <f t="shared" si="1"/>
        <v>626.10940800000003</v>
      </c>
      <c r="X28" s="6">
        <f t="shared" si="3"/>
        <v>763.85347776000003</v>
      </c>
      <c r="AB28" s="4" t="s">
        <v>234</v>
      </c>
      <c r="AC28" s="4" t="s">
        <v>232</v>
      </c>
    </row>
    <row r="29" spans="1:29" ht="33.75" customHeight="1" x14ac:dyDescent="0.35">
      <c r="A29" s="4" t="s">
        <v>31</v>
      </c>
      <c r="B29" s="4">
        <v>26055423</v>
      </c>
      <c r="C29" s="4" t="s">
        <v>27</v>
      </c>
      <c r="D29" s="4" t="s">
        <v>43</v>
      </c>
      <c r="F29" s="7">
        <v>9999999</v>
      </c>
      <c r="G29" s="13">
        <v>2005.2</v>
      </c>
      <c r="H29" s="4" t="s">
        <v>182</v>
      </c>
      <c r="J29" s="1" t="s">
        <v>28</v>
      </c>
      <c r="K29" s="4">
        <v>0.72</v>
      </c>
      <c r="L29" s="4">
        <v>869.59640000000002</v>
      </c>
      <c r="M29" s="6">
        <v>18</v>
      </c>
      <c r="N29" s="6">
        <f t="shared" si="0"/>
        <v>112.69969344</v>
      </c>
      <c r="O29" s="1">
        <v>4</v>
      </c>
      <c r="P29" s="1">
        <f t="shared" si="2"/>
        <v>25.044376320000001</v>
      </c>
      <c r="Q29" s="6">
        <f t="shared" si="1"/>
        <v>626.10940800000003</v>
      </c>
      <c r="X29" s="6">
        <f t="shared" si="3"/>
        <v>763.85347776000003</v>
      </c>
      <c r="AB29" s="4" t="s">
        <v>234</v>
      </c>
      <c r="AC29" s="4" t="s">
        <v>232</v>
      </c>
    </row>
    <row r="30" spans="1:29" ht="33.75" customHeight="1" x14ac:dyDescent="0.35">
      <c r="A30" s="4" t="s">
        <v>31</v>
      </c>
      <c r="B30" s="4">
        <v>26055423</v>
      </c>
      <c r="C30" s="4" t="s">
        <v>27</v>
      </c>
      <c r="D30" s="4" t="s">
        <v>43</v>
      </c>
      <c r="F30" s="7">
        <v>9999999</v>
      </c>
      <c r="G30" s="13">
        <v>2005.2</v>
      </c>
      <c r="H30" s="4" t="s">
        <v>183</v>
      </c>
      <c r="J30" s="1" t="s">
        <v>28</v>
      </c>
      <c r="K30" s="4">
        <v>0.72</v>
      </c>
      <c r="L30" s="4">
        <v>869.59640000000002</v>
      </c>
      <c r="M30" s="6">
        <v>18</v>
      </c>
      <c r="N30" s="6">
        <f t="shared" si="0"/>
        <v>112.69969344</v>
      </c>
      <c r="O30" s="1">
        <v>4</v>
      </c>
      <c r="P30" s="1">
        <f t="shared" si="2"/>
        <v>25.044376320000001</v>
      </c>
      <c r="Q30" s="6">
        <f t="shared" si="1"/>
        <v>626.10940800000003</v>
      </c>
      <c r="X30" s="6">
        <f t="shared" si="3"/>
        <v>763.85347776000003</v>
      </c>
      <c r="AB30" s="4" t="s">
        <v>234</v>
      </c>
      <c r="AC30" s="4" t="s">
        <v>232</v>
      </c>
    </row>
    <row r="31" spans="1:29" ht="33.75" customHeight="1" x14ac:dyDescent="0.35">
      <c r="A31" s="4" t="s">
        <v>31</v>
      </c>
      <c r="B31" s="4">
        <v>26055423</v>
      </c>
      <c r="C31" s="4" t="s">
        <v>27</v>
      </c>
      <c r="D31" s="4" t="s">
        <v>43</v>
      </c>
      <c r="F31" s="7">
        <v>9999999</v>
      </c>
      <c r="G31" s="13">
        <v>2005.2</v>
      </c>
      <c r="H31" s="4" t="s">
        <v>184</v>
      </c>
      <c r="J31" s="1" t="s">
        <v>28</v>
      </c>
      <c r="K31" s="4">
        <v>0.72</v>
      </c>
      <c r="L31" s="4">
        <v>811.58249999999998</v>
      </c>
      <c r="M31" s="6">
        <v>18</v>
      </c>
      <c r="N31" s="6">
        <f t="shared" si="0"/>
        <v>105.18109199999999</v>
      </c>
      <c r="O31" s="1">
        <v>4</v>
      </c>
      <c r="P31" s="1">
        <f t="shared" si="2"/>
        <v>23.373576</v>
      </c>
      <c r="Q31" s="6">
        <f t="shared" si="1"/>
        <v>584.33939999999996</v>
      </c>
      <c r="X31" s="6">
        <f t="shared" si="3"/>
        <v>712.89406799999995</v>
      </c>
      <c r="AB31" s="4" t="s">
        <v>234</v>
      </c>
      <c r="AC31" s="4" t="s">
        <v>232</v>
      </c>
    </row>
    <row r="32" spans="1:29" ht="33.75" customHeight="1" x14ac:dyDescent="0.35">
      <c r="A32" s="4" t="s">
        <v>31</v>
      </c>
      <c r="B32" s="4">
        <v>26055423</v>
      </c>
      <c r="C32" s="4" t="s">
        <v>27</v>
      </c>
      <c r="D32" s="4" t="s">
        <v>43</v>
      </c>
      <c r="F32" s="7">
        <v>9999999</v>
      </c>
      <c r="G32" s="6" t="s">
        <v>233</v>
      </c>
      <c r="H32" s="4" t="s">
        <v>185</v>
      </c>
      <c r="J32" s="1" t="s">
        <v>28</v>
      </c>
      <c r="K32" s="4">
        <v>0.86399999999999999</v>
      </c>
      <c r="L32" s="4">
        <v>878.38390000000004</v>
      </c>
      <c r="M32" s="6">
        <v>18</v>
      </c>
      <c r="N32" s="6">
        <f t="shared" si="0"/>
        <v>136.60626412799999</v>
      </c>
      <c r="O32" s="1">
        <v>4</v>
      </c>
      <c r="P32" s="1">
        <f t="shared" si="2"/>
        <v>30.356947584</v>
      </c>
      <c r="Q32" s="6">
        <f t="shared" si="1"/>
        <v>758.92368959999999</v>
      </c>
      <c r="X32" s="6">
        <f t="shared" si="3"/>
        <v>925.88690131199996</v>
      </c>
      <c r="AB32" s="4" t="s">
        <v>234</v>
      </c>
      <c r="AC32" s="4" t="s">
        <v>232</v>
      </c>
    </row>
    <row r="33" spans="1:29" ht="33.75" customHeight="1" x14ac:dyDescent="0.35">
      <c r="A33" s="4" t="s">
        <v>31</v>
      </c>
      <c r="B33" s="4">
        <v>26055423</v>
      </c>
      <c r="C33" s="4" t="s">
        <v>27</v>
      </c>
      <c r="D33" s="4" t="s">
        <v>43</v>
      </c>
      <c r="F33" s="7">
        <v>9999999</v>
      </c>
      <c r="G33" s="6" t="s">
        <v>233</v>
      </c>
      <c r="H33" s="4" t="s">
        <v>164</v>
      </c>
      <c r="J33" s="1" t="s">
        <v>28</v>
      </c>
      <c r="K33" s="4">
        <v>0.496</v>
      </c>
      <c r="L33" s="4">
        <v>584.99019999999996</v>
      </c>
      <c r="M33" s="6">
        <v>18</v>
      </c>
      <c r="N33" s="6">
        <f t="shared" si="0"/>
        <v>52.227925055999989</v>
      </c>
      <c r="O33" s="1">
        <v>4</v>
      </c>
      <c r="P33" s="1">
        <f t="shared" si="2"/>
        <v>11.606205567999998</v>
      </c>
      <c r="Q33" s="6">
        <f t="shared" si="1"/>
        <v>290.15513919999995</v>
      </c>
      <c r="X33" s="6">
        <f t="shared" si="3"/>
        <v>353.98926982399996</v>
      </c>
      <c r="AB33" s="4" t="s">
        <v>234</v>
      </c>
      <c r="AC33" s="4" t="s">
        <v>232</v>
      </c>
    </row>
    <row r="34" spans="1:29" ht="33.75" customHeight="1" x14ac:dyDescent="0.35">
      <c r="A34" s="4" t="s">
        <v>31</v>
      </c>
      <c r="B34" s="4">
        <v>26055423</v>
      </c>
      <c r="C34" s="4" t="s">
        <v>27</v>
      </c>
      <c r="D34" s="4" t="s">
        <v>43</v>
      </c>
      <c r="F34" s="7">
        <v>9999999</v>
      </c>
      <c r="G34" s="6" t="s">
        <v>233</v>
      </c>
      <c r="H34" s="4" t="s">
        <v>186</v>
      </c>
      <c r="J34" s="1" t="s">
        <v>28</v>
      </c>
      <c r="K34" s="4">
        <v>1.0880000000000001</v>
      </c>
      <c r="L34" s="4">
        <v>938.63729999999998</v>
      </c>
      <c r="M34" s="6">
        <v>18</v>
      </c>
      <c r="N34" s="6">
        <f t="shared" si="0"/>
        <v>183.822728832</v>
      </c>
      <c r="O34" s="1">
        <v>4</v>
      </c>
      <c r="P34" s="1">
        <f t="shared" si="2"/>
        <v>40.849495296000001</v>
      </c>
      <c r="Q34" s="6">
        <f t="shared" si="1"/>
        <v>1021.2373824</v>
      </c>
      <c r="X34" s="6">
        <f t="shared" si="3"/>
        <v>1245.909606528</v>
      </c>
      <c r="AB34" s="4" t="s">
        <v>234</v>
      </c>
      <c r="AC34" s="4" t="s">
        <v>232</v>
      </c>
    </row>
    <row r="35" spans="1:29" ht="33.75" customHeight="1" x14ac:dyDescent="0.35">
      <c r="A35" s="4" t="s">
        <v>31</v>
      </c>
      <c r="B35" s="4">
        <v>26055423</v>
      </c>
      <c r="C35" s="4" t="s">
        <v>27</v>
      </c>
      <c r="D35" s="4" t="s">
        <v>43</v>
      </c>
      <c r="F35" s="7">
        <v>9999999</v>
      </c>
      <c r="G35" s="6" t="s">
        <v>233</v>
      </c>
      <c r="H35" s="4" t="s">
        <v>187</v>
      </c>
      <c r="J35" s="1" t="s">
        <v>28</v>
      </c>
      <c r="K35" s="4">
        <v>0.64800000000000002</v>
      </c>
      <c r="L35" s="4">
        <v>791.94590000000005</v>
      </c>
      <c r="M35" s="6">
        <v>18</v>
      </c>
      <c r="N35" s="6">
        <f t="shared" si="0"/>
        <v>92.372569775999992</v>
      </c>
      <c r="O35" s="1">
        <v>4</v>
      </c>
      <c r="P35" s="1">
        <f t="shared" si="2"/>
        <v>20.527237727999999</v>
      </c>
      <c r="Q35" s="6">
        <f t="shared" si="1"/>
        <v>513.1809432</v>
      </c>
      <c r="X35" s="6">
        <f t="shared" si="3"/>
        <v>626.08075070400002</v>
      </c>
      <c r="AB35" s="4" t="s">
        <v>234</v>
      </c>
      <c r="AC35" s="4" t="s">
        <v>232</v>
      </c>
    </row>
    <row r="36" spans="1:29" ht="33.75" customHeight="1" x14ac:dyDescent="0.35">
      <c r="A36" s="4" t="s">
        <v>31</v>
      </c>
      <c r="B36" s="4">
        <v>26055423</v>
      </c>
      <c r="C36" s="4" t="s">
        <v>27</v>
      </c>
      <c r="D36" s="4" t="s">
        <v>43</v>
      </c>
      <c r="F36" s="7">
        <v>9999999</v>
      </c>
      <c r="G36" s="13">
        <v>2005.2</v>
      </c>
      <c r="H36" s="4" t="s">
        <v>188</v>
      </c>
      <c r="J36" s="1" t="s">
        <v>28</v>
      </c>
      <c r="K36" s="4">
        <v>0.69599999999999995</v>
      </c>
      <c r="L36" s="4">
        <v>869.59640000000002</v>
      </c>
      <c r="M36" s="6">
        <v>18</v>
      </c>
      <c r="N36" s="6">
        <f t="shared" si="0"/>
        <v>108.94303699199999</v>
      </c>
      <c r="O36" s="1">
        <v>4</v>
      </c>
      <c r="P36" s="1">
        <f t="shared" si="2"/>
        <v>24.209563776</v>
      </c>
      <c r="Q36" s="6">
        <f t="shared" si="1"/>
        <v>605.2390944</v>
      </c>
      <c r="X36" s="6">
        <f t="shared" si="3"/>
        <v>738.39169516799996</v>
      </c>
      <c r="AB36" s="4" t="s">
        <v>234</v>
      </c>
      <c r="AC36" s="4" t="s">
        <v>232</v>
      </c>
    </row>
    <row r="37" spans="1:29" ht="33.75" customHeight="1" x14ac:dyDescent="0.35">
      <c r="A37" s="4" t="s">
        <v>31</v>
      </c>
      <c r="B37" s="4">
        <v>26055423</v>
      </c>
      <c r="C37" s="4" t="s">
        <v>27</v>
      </c>
      <c r="D37" s="4" t="s">
        <v>43</v>
      </c>
      <c r="F37" s="7">
        <v>9999999</v>
      </c>
      <c r="G37" s="13">
        <v>2005.2</v>
      </c>
      <c r="H37" s="4" t="s">
        <v>189</v>
      </c>
      <c r="J37" s="1" t="s">
        <v>28</v>
      </c>
      <c r="K37" s="4">
        <v>0.68799999999999994</v>
      </c>
      <c r="L37" s="4">
        <v>811.58249999999998</v>
      </c>
      <c r="M37" s="6">
        <v>18</v>
      </c>
      <c r="N37" s="6">
        <f t="shared" si="0"/>
        <v>100.50637679999998</v>
      </c>
      <c r="O37" s="1">
        <v>4</v>
      </c>
      <c r="P37" s="1">
        <f t="shared" si="2"/>
        <v>22.334750399999997</v>
      </c>
      <c r="Q37" s="6">
        <f t="shared" si="1"/>
        <v>558.36875999999995</v>
      </c>
      <c r="X37" s="6">
        <f t="shared" si="3"/>
        <v>681.20988719999991</v>
      </c>
      <c r="AB37" s="4" t="s">
        <v>234</v>
      </c>
      <c r="AC37" s="4" t="s">
        <v>232</v>
      </c>
    </row>
    <row r="38" spans="1:29" ht="33.75" customHeight="1" x14ac:dyDescent="0.35">
      <c r="A38" s="4" t="s">
        <v>31</v>
      </c>
      <c r="B38" s="4">
        <v>26055424</v>
      </c>
      <c r="C38" s="4" t="s">
        <v>27</v>
      </c>
      <c r="D38" s="4" t="s">
        <v>44</v>
      </c>
      <c r="F38" s="8">
        <v>1730109779151</v>
      </c>
      <c r="G38" s="13">
        <v>2005.2</v>
      </c>
      <c r="H38" s="4" t="s">
        <v>190</v>
      </c>
      <c r="J38" s="1" t="s">
        <v>28</v>
      </c>
      <c r="K38" s="4">
        <v>0.88</v>
      </c>
      <c r="L38" s="4">
        <v>1199.9903999999999</v>
      </c>
      <c r="M38" s="6">
        <v>18</v>
      </c>
      <c r="N38" s="6">
        <f t="shared" si="0"/>
        <v>190.07847935999999</v>
      </c>
      <c r="O38" s="1">
        <v>4</v>
      </c>
      <c r="P38" s="1">
        <f t="shared" si="2"/>
        <v>42.239662079999995</v>
      </c>
      <c r="Q38" s="6">
        <f t="shared" si="1"/>
        <v>1055.991552</v>
      </c>
      <c r="X38" s="6">
        <f t="shared" si="3"/>
        <v>1288.30969344</v>
      </c>
      <c r="AB38" s="4" t="s">
        <v>234</v>
      </c>
      <c r="AC38" s="4" t="s">
        <v>232</v>
      </c>
    </row>
    <row r="39" spans="1:29" ht="33.75" customHeight="1" x14ac:dyDescent="0.35">
      <c r="A39" s="4" t="s">
        <v>31</v>
      </c>
      <c r="B39" s="4">
        <v>26055424</v>
      </c>
      <c r="C39" s="4" t="s">
        <v>27</v>
      </c>
      <c r="D39" s="4" t="s">
        <v>44</v>
      </c>
      <c r="F39" s="8">
        <v>1730109779151</v>
      </c>
      <c r="G39" s="6" t="s">
        <v>233</v>
      </c>
      <c r="H39" s="4" t="s">
        <v>191</v>
      </c>
      <c r="J39" s="1" t="s">
        <v>28</v>
      </c>
      <c r="K39" s="4">
        <v>0.70399999999999996</v>
      </c>
      <c r="L39" s="4">
        <v>952.03319999999997</v>
      </c>
      <c r="M39" s="6">
        <v>18</v>
      </c>
      <c r="N39" s="6">
        <f t="shared" si="0"/>
        <v>120.64164710399999</v>
      </c>
      <c r="O39" s="1">
        <v>4</v>
      </c>
      <c r="P39" s="1">
        <f t="shared" si="2"/>
        <v>26.809254911999997</v>
      </c>
      <c r="Q39" s="6">
        <f t="shared" si="1"/>
        <v>670.23137279999992</v>
      </c>
      <c r="X39" s="6">
        <f t="shared" si="3"/>
        <v>817.6822748159999</v>
      </c>
      <c r="AB39" s="4" t="s">
        <v>234</v>
      </c>
      <c r="AC39" s="4" t="s">
        <v>232</v>
      </c>
    </row>
    <row r="40" spans="1:29" ht="33.75" customHeight="1" x14ac:dyDescent="0.35">
      <c r="A40" s="4" t="s">
        <v>31</v>
      </c>
      <c r="B40" s="4">
        <v>26055424</v>
      </c>
      <c r="C40" s="4" t="s">
        <v>27</v>
      </c>
      <c r="D40" s="4" t="s">
        <v>44</v>
      </c>
      <c r="F40" s="8">
        <v>1730109779151</v>
      </c>
      <c r="G40" s="6" t="s">
        <v>233</v>
      </c>
      <c r="H40" s="4" t="s">
        <v>192</v>
      </c>
      <c r="J40" s="1" t="s">
        <v>28</v>
      </c>
      <c r="K40" s="4">
        <v>1.1200000000000001</v>
      </c>
      <c r="L40" s="4">
        <v>898.12689999999998</v>
      </c>
      <c r="M40" s="6">
        <v>18</v>
      </c>
      <c r="N40" s="6">
        <f t="shared" si="0"/>
        <v>181.06238304000001</v>
      </c>
      <c r="O40" s="1">
        <v>4</v>
      </c>
      <c r="P40" s="1">
        <f t="shared" si="2"/>
        <v>40.236085120000006</v>
      </c>
      <c r="Q40" s="6">
        <f t="shared" si="1"/>
        <v>1005.9021280000001</v>
      </c>
      <c r="X40" s="6">
        <f t="shared" si="3"/>
        <v>1227.2005961600003</v>
      </c>
      <c r="AB40" s="4" t="s">
        <v>234</v>
      </c>
      <c r="AC40" s="4" t="s">
        <v>232</v>
      </c>
    </row>
    <row r="41" spans="1:29" ht="33.75" customHeight="1" x14ac:dyDescent="0.35">
      <c r="A41" s="4" t="s">
        <v>31</v>
      </c>
      <c r="B41" s="4">
        <v>26055424</v>
      </c>
      <c r="C41" s="4" t="s">
        <v>27</v>
      </c>
      <c r="D41" s="4" t="s">
        <v>44</v>
      </c>
      <c r="F41" s="8">
        <v>1730109779151</v>
      </c>
      <c r="G41" s="6" t="s">
        <v>233</v>
      </c>
      <c r="H41" s="4" t="s">
        <v>193</v>
      </c>
      <c r="J41" s="1" t="s">
        <v>28</v>
      </c>
      <c r="K41" s="4">
        <v>0.86399999999999999</v>
      </c>
      <c r="L41" s="4">
        <v>896.68349999999998</v>
      </c>
      <c r="M41" s="6">
        <v>18</v>
      </c>
      <c r="N41" s="6">
        <f t="shared" si="0"/>
        <v>139.45221792000001</v>
      </c>
      <c r="O41" s="1">
        <v>4</v>
      </c>
      <c r="P41" s="1">
        <f t="shared" si="2"/>
        <v>30.989381760000001</v>
      </c>
      <c r="Q41" s="6">
        <f t="shared" si="1"/>
        <v>774.73454400000003</v>
      </c>
      <c r="X41" s="6">
        <f t="shared" si="3"/>
        <v>945.17614368</v>
      </c>
      <c r="AB41" s="4" t="s">
        <v>234</v>
      </c>
      <c r="AC41" s="4" t="s">
        <v>232</v>
      </c>
    </row>
    <row r="42" spans="1:29" ht="33.75" customHeight="1" x14ac:dyDescent="0.35">
      <c r="A42" s="4" t="s">
        <v>31</v>
      </c>
      <c r="B42" s="4">
        <v>26055424</v>
      </c>
      <c r="C42" s="4" t="s">
        <v>27</v>
      </c>
      <c r="D42" s="4" t="s">
        <v>44</v>
      </c>
      <c r="F42" s="8">
        <v>1730109779151</v>
      </c>
      <c r="G42" s="13">
        <v>2005.2</v>
      </c>
      <c r="H42" s="4" t="s">
        <v>177</v>
      </c>
      <c r="J42" s="1" t="s">
        <v>28</v>
      </c>
      <c r="K42" s="4">
        <v>0.69599999999999995</v>
      </c>
      <c r="L42" s="4">
        <v>887.71299999999997</v>
      </c>
      <c r="M42" s="6">
        <v>18</v>
      </c>
      <c r="N42" s="6">
        <f t="shared" si="0"/>
        <v>111.21268463999998</v>
      </c>
      <c r="O42" s="1">
        <v>4</v>
      </c>
      <c r="P42" s="1">
        <f t="shared" si="2"/>
        <v>24.713929919999995</v>
      </c>
      <c r="Q42" s="6">
        <f t="shared" si="1"/>
        <v>617.8482479999999</v>
      </c>
      <c r="X42" s="6">
        <f t="shared" si="3"/>
        <v>753.77486255999986</v>
      </c>
      <c r="AB42" s="4" t="s">
        <v>234</v>
      </c>
      <c r="AC42" s="4" t="s">
        <v>232</v>
      </c>
    </row>
    <row r="43" spans="1:29" ht="33.75" customHeight="1" x14ac:dyDescent="0.35">
      <c r="A43" s="4" t="s">
        <v>31</v>
      </c>
      <c r="B43" s="4">
        <v>26055424</v>
      </c>
      <c r="C43" s="4" t="s">
        <v>27</v>
      </c>
      <c r="D43" s="4" t="s">
        <v>44</v>
      </c>
      <c r="F43" s="8">
        <v>1730109779151</v>
      </c>
      <c r="G43" s="13">
        <v>2005.2</v>
      </c>
      <c r="H43" s="4" t="s">
        <v>178</v>
      </c>
      <c r="J43" s="1" t="s">
        <v>28</v>
      </c>
      <c r="K43" s="4">
        <v>0.68799999999999994</v>
      </c>
      <c r="L43" s="4">
        <v>828.49040000000002</v>
      </c>
      <c r="M43" s="6">
        <v>18</v>
      </c>
      <c r="N43" s="6">
        <f t="shared" si="0"/>
        <v>102.60025113599998</v>
      </c>
      <c r="O43" s="1">
        <v>4</v>
      </c>
      <c r="P43" s="1">
        <f t="shared" si="2"/>
        <v>22.800055807999996</v>
      </c>
      <c r="Q43" s="6">
        <f t="shared" si="1"/>
        <v>570.00139519999993</v>
      </c>
      <c r="X43" s="6">
        <f t="shared" si="3"/>
        <v>695.40170214399996</v>
      </c>
      <c r="AB43" s="4" t="s">
        <v>234</v>
      </c>
      <c r="AC43" s="4" t="s">
        <v>232</v>
      </c>
    </row>
    <row r="44" spans="1:29" ht="33.75" customHeight="1" x14ac:dyDescent="0.35">
      <c r="A44" s="4" t="s">
        <v>31</v>
      </c>
      <c r="B44" s="4">
        <v>26055424</v>
      </c>
      <c r="C44" s="4" t="s">
        <v>27</v>
      </c>
      <c r="D44" s="4" t="s">
        <v>44</v>
      </c>
      <c r="F44" s="8">
        <v>1730109779151</v>
      </c>
      <c r="G44" s="6" t="s">
        <v>233</v>
      </c>
      <c r="H44" s="4" t="s">
        <v>194</v>
      </c>
      <c r="J44" s="1" t="s">
        <v>28</v>
      </c>
      <c r="K44" s="4">
        <v>0.84</v>
      </c>
      <c r="L44" s="4">
        <v>902.53880000000004</v>
      </c>
      <c r="M44" s="6">
        <v>18</v>
      </c>
      <c r="N44" s="6">
        <f t="shared" si="0"/>
        <v>136.46386656000001</v>
      </c>
      <c r="O44" s="1">
        <v>4</v>
      </c>
      <c r="P44" s="1">
        <f t="shared" si="2"/>
        <v>30.325303680000001</v>
      </c>
      <c r="Q44" s="6">
        <f t="shared" si="1"/>
        <v>758.13259200000005</v>
      </c>
      <c r="X44" s="6">
        <f t="shared" si="3"/>
        <v>924.92176224000013</v>
      </c>
      <c r="AB44" s="4" t="s">
        <v>234</v>
      </c>
      <c r="AC44" s="4" t="s">
        <v>232</v>
      </c>
    </row>
    <row r="45" spans="1:29" ht="33.75" customHeight="1" x14ac:dyDescent="0.35">
      <c r="A45" s="4" t="s">
        <v>31</v>
      </c>
      <c r="B45" s="4">
        <v>26055425</v>
      </c>
      <c r="C45" s="4" t="s">
        <v>27</v>
      </c>
      <c r="D45" s="4" t="s">
        <v>45</v>
      </c>
      <c r="F45" s="7">
        <v>9999999</v>
      </c>
      <c r="G45" s="13">
        <v>2005.2</v>
      </c>
      <c r="H45" s="4" t="s">
        <v>180</v>
      </c>
      <c r="J45" s="1" t="s">
        <v>28</v>
      </c>
      <c r="K45" s="4">
        <v>0.86399999999999999</v>
      </c>
      <c r="L45" s="4">
        <v>1040.5093999999999</v>
      </c>
      <c r="M45" s="6">
        <v>18</v>
      </c>
      <c r="N45" s="6">
        <f t="shared" si="0"/>
        <v>161.82002188799999</v>
      </c>
      <c r="O45" s="1">
        <v>4</v>
      </c>
      <c r="P45" s="1">
        <f t="shared" si="2"/>
        <v>35.960004863999998</v>
      </c>
      <c r="Q45" s="6">
        <f t="shared" si="1"/>
        <v>899.00012159999994</v>
      </c>
      <c r="X45" s="6">
        <f t="shared" si="3"/>
        <v>1096.780148352</v>
      </c>
      <c r="AB45" s="4" t="s">
        <v>234</v>
      </c>
      <c r="AC45" s="4" t="s">
        <v>232</v>
      </c>
    </row>
    <row r="46" spans="1:29" ht="33.75" customHeight="1" x14ac:dyDescent="0.35">
      <c r="A46" s="4" t="s">
        <v>31</v>
      </c>
      <c r="B46" s="4">
        <v>26055425</v>
      </c>
      <c r="C46" s="4" t="s">
        <v>27</v>
      </c>
      <c r="D46" s="4" t="s">
        <v>45</v>
      </c>
      <c r="F46" s="7">
        <v>9999999</v>
      </c>
      <c r="G46" s="13">
        <v>2005.2</v>
      </c>
      <c r="H46" s="4" t="s">
        <v>195</v>
      </c>
      <c r="J46" s="1" t="s">
        <v>28</v>
      </c>
      <c r="K46" s="4">
        <v>0.72</v>
      </c>
      <c r="L46" s="4">
        <v>811.58249999999998</v>
      </c>
      <c r="M46" s="6">
        <v>18</v>
      </c>
      <c r="N46" s="6">
        <f t="shared" si="0"/>
        <v>105.18109199999999</v>
      </c>
      <c r="O46" s="1">
        <v>4</v>
      </c>
      <c r="P46" s="1">
        <f t="shared" si="2"/>
        <v>23.373576</v>
      </c>
      <c r="Q46" s="6">
        <f t="shared" si="1"/>
        <v>584.33939999999996</v>
      </c>
      <c r="X46" s="6">
        <f t="shared" si="3"/>
        <v>712.89406799999995</v>
      </c>
      <c r="AB46" s="4" t="s">
        <v>234</v>
      </c>
      <c r="AC46" s="4" t="s">
        <v>232</v>
      </c>
    </row>
    <row r="47" spans="1:29" ht="33.75" customHeight="1" x14ac:dyDescent="0.35">
      <c r="A47" s="4" t="s">
        <v>31</v>
      </c>
      <c r="B47" s="4">
        <v>26055425</v>
      </c>
      <c r="C47" s="4" t="s">
        <v>27</v>
      </c>
      <c r="D47" s="4" t="s">
        <v>45</v>
      </c>
      <c r="F47" s="7">
        <v>9999999</v>
      </c>
      <c r="G47" s="13">
        <v>2005.2</v>
      </c>
      <c r="H47" s="4" t="s">
        <v>184</v>
      </c>
      <c r="J47" s="1" t="s">
        <v>28</v>
      </c>
      <c r="K47" s="4">
        <v>0.72</v>
      </c>
      <c r="L47" s="4">
        <v>811.58249999999998</v>
      </c>
      <c r="M47" s="6">
        <v>18</v>
      </c>
      <c r="N47" s="6">
        <f t="shared" si="0"/>
        <v>105.18109199999999</v>
      </c>
      <c r="O47" s="1">
        <v>4</v>
      </c>
      <c r="P47" s="1">
        <f t="shared" si="2"/>
        <v>23.373576</v>
      </c>
      <c r="Q47" s="6">
        <f t="shared" si="1"/>
        <v>584.33939999999996</v>
      </c>
      <c r="X47" s="6">
        <f t="shared" si="3"/>
        <v>712.89406799999995</v>
      </c>
      <c r="AB47" s="4" t="s">
        <v>234</v>
      </c>
      <c r="AC47" s="4" t="s">
        <v>232</v>
      </c>
    </row>
    <row r="48" spans="1:29" ht="33.75" customHeight="1" x14ac:dyDescent="0.35">
      <c r="A48" s="4" t="s">
        <v>31</v>
      </c>
      <c r="B48" s="4">
        <v>26055425</v>
      </c>
      <c r="C48" s="4" t="s">
        <v>27</v>
      </c>
      <c r="D48" s="4" t="s">
        <v>45</v>
      </c>
      <c r="F48" s="7">
        <v>9999999</v>
      </c>
      <c r="G48" s="13">
        <v>2005.2</v>
      </c>
      <c r="H48" s="4" t="s">
        <v>196</v>
      </c>
      <c r="J48" s="1" t="s">
        <v>28</v>
      </c>
      <c r="K48" s="4">
        <v>0.72</v>
      </c>
      <c r="L48" s="4">
        <v>811.58249999999998</v>
      </c>
      <c r="M48" s="6">
        <v>18</v>
      </c>
      <c r="N48" s="6">
        <f t="shared" si="0"/>
        <v>105.18109199999999</v>
      </c>
      <c r="O48" s="1">
        <v>4</v>
      </c>
      <c r="P48" s="1">
        <f t="shared" si="2"/>
        <v>23.373576</v>
      </c>
      <c r="Q48" s="6">
        <f t="shared" si="1"/>
        <v>584.33939999999996</v>
      </c>
      <c r="X48" s="6">
        <f t="shared" si="3"/>
        <v>712.89406799999995</v>
      </c>
      <c r="AB48" s="4" t="s">
        <v>234</v>
      </c>
      <c r="AC48" s="4" t="s">
        <v>232</v>
      </c>
    </row>
    <row r="49" spans="1:29" ht="33.75" customHeight="1" x14ac:dyDescent="0.35">
      <c r="A49" s="4" t="s">
        <v>31</v>
      </c>
      <c r="B49" s="4">
        <v>26055425</v>
      </c>
      <c r="C49" s="4" t="s">
        <v>27</v>
      </c>
      <c r="D49" s="4" t="s">
        <v>45</v>
      </c>
      <c r="F49" s="7">
        <v>9999999</v>
      </c>
      <c r="G49" s="13">
        <v>2005.2</v>
      </c>
      <c r="H49" s="4" t="s">
        <v>163</v>
      </c>
      <c r="J49" s="1" t="s">
        <v>28</v>
      </c>
      <c r="K49" s="4">
        <v>0.72</v>
      </c>
      <c r="L49" s="4">
        <v>806.43380000000002</v>
      </c>
      <c r="M49" s="6">
        <v>18</v>
      </c>
      <c r="N49" s="6">
        <f t="shared" si="0"/>
        <v>104.51382047999999</v>
      </c>
      <c r="O49" s="1">
        <v>4</v>
      </c>
      <c r="P49" s="1">
        <f t="shared" si="2"/>
        <v>23.225293440000002</v>
      </c>
      <c r="Q49" s="6">
        <f t="shared" si="1"/>
        <v>580.63233600000001</v>
      </c>
      <c r="X49" s="6">
        <f t="shared" si="3"/>
        <v>708.37144991999992</v>
      </c>
      <c r="AB49" s="4" t="s">
        <v>234</v>
      </c>
      <c r="AC49" s="4" t="s">
        <v>232</v>
      </c>
    </row>
    <row r="50" spans="1:29" ht="33.75" customHeight="1" x14ac:dyDescent="0.35">
      <c r="A50" s="4" t="s">
        <v>31</v>
      </c>
      <c r="B50" s="4">
        <v>26055425</v>
      </c>
      <c r="C50" s="4" t="s">
        <v>27</v>
      </c>
      <c r="D50" s="4" t="s">
        <v>45</v>
      </c>
      <c r="F50" s="7">
        <v>9999999</v>
      </c>
      <c r="G50" s="6" t="s">
        <v>233</v>
      </c>
      <c r="H50" s="4" t="s">
        <v>197</v>
      </c>
      <c r="J50" s="1" t="s">
        <v>28</v>
      </c>
      <c r="K50" s="4">
        <v>0.70399999999999996</v>
      </c>
      <c r="L50" s="4">
        <v>943.87199999999996</v>
      </c>
      <c r="M50" s="6">
        <v>18</v>
      </c>
      <c r="N50" s="6">
        <f t="shared" si="0"/>
        <v>119.60745983999999</v>
      </c>
      <c r="O50" s="1">
        <v>4</v>
      </c>
      <c r="P50" s="1">
        <f t="shared" si="2"/>
        <v>26.579435519999997</v>
      </c>
      <c r="Q50" s="6">
        <f t="shared" si="1"/>
        <v>664.48588799999993</v>
      </c>
      <c r="X50" s="6">
        <f t="shared" si="3"/>
        <v>810.67278335999993</v>
      </c>
      <c r="AB50" s="4" t="s">
        <v>234</v>
      </c>
      <c r="AC50" s="4" t="s">
        <v>232</v>
      </c>
    </row>
    <row r="51" spans="1:29" ht="33.75" customHeight="1" x14ac:dyDescent="0.35">
      <c r="A51" s="4" t="s">
        <v>31</v>
      </c>
      <c r="B51" s="4">
        <v>26055425</v>
      </c>
      <c r="C51" s="4" t="s">
        <v>27</v>
      </c>
      <c r="D51" s="4" t="s">
        <v>45</v>
      </c>
      <c r="F51" s="7">
        <v>9999999</v>
      </c>
      <c r="G51" s="6" t="s">
        <v>233</v>
      </c>
      <c r="H51" s="4" t="s">
        <v>198</v>
      </c>
      <c r="J51" s="1" t="s">
        <v>28</v>
      </c>
      <c r="K51" s="4">
        <v>0.70399999999999996</v>
      </c>
      <c r="L51" s="4">
        <v>932.60389999999995</v>
      </c>
      <c r="M51" s="6">
        <v>18</v>
      </c>
      <c r="N51" s="6">
        <f t="shared" si="0"/>
        <v>118.17956620799997</v>
      </c>
      <c r="O51" s="1">
        <v>4</v>
      </c>
      <c r="P51" s="1">
        <f t="shared" si="2"/>
        <v>26.262125823999995</v>
      </c>
      <c r="Q51" s="6">
        <f t="shared" si="1"/>
        <v>656.55314559999988</v>
      </c>
      <c r="X51" s="6">
        <f t="shared" si="3"/>
        <v>800.99483763199987</v>
      </c>
      <c r="AB51" s="4" t="s">
        <v>234</v>
      </c>
      <c r="AC51" s="4" t="s">
        <v>232</v>
      </c>
    </row>
    <row r="52" spans="1:29" ht="33.75" customHeight="1" x14ac:dyDescent="0.35">
      <c r="A52" s="4" t="s">
        <v>31</v>
      </c>
      <c r="B52" s="4">
        <v>26055425</v>
      </c>
      <c r="C52" s="4" t="s">
        <v>27</v>
      </c>
      <c r="D52" s="4" t="s">
        <v>45</v>
      </c>
      <c r="F52" s="7">
        <v>9999999</v>
      </c>
      <c r="G52" s="6" t="s">
        <v>233</v>
      </c>
      <c r="H52" s="4" t="s">
        <v>199</v>
      </c>
      <c r="J52" s="1" t="s">
        <v>28</v>
      </c>
      <c r="K52" s="4">
        <v>1.0880000000000001</v>
      </c>
      <c r="L52" s="4">
        <v>938.63729999999998</v>
      </c>
      <c r="M52" s="6">
        <v>18</v>
      </c>
      <c r="N52" s="6">
        <f t="shared" si="0"/>
        <v>183.822728832</v>
      </c>
      <c r="O52" s="1">
        <v>4</v>
      </c>
      <c r="P52" s="1">
        <f t="shared" si="2"/>
        <v>40.849495296000001</v>
      </c>
      <c r="Q52" s="6">
        <f t="shared" si="1"/>
        <v>1021.2373824</v>
      </c>
      <c r="X52" s="6">
        <f t="shared" si="3"/>
        <v>1245.909606528</v>
      </c>
      <c r="AB52" s="4" t="s">
        <v>234</v>
      </c>
      <c r="AC52" s="4" t="s">
        <v>232</v>
      </c>
    </row>
    <row r="53" spans="1:29" ht="33.75" customHeight="1" x14ac:dyDescent="0.35">
      <c r="A53" s="4" t="s">
        <v>31</v>
      </c>
      <c r="B53" s="4">
        <v>26055425</v>
      </c>
      <c r="C53" s="4" t="s">
        <v>27</v>
      </c>
      <c r="D53" s="4" t="s">
        <v>45</v>
      </c>
      <c r="F53" s="7">
        <v>9999999</v>
      </c>
      <c r="G53" s="6" t="s">
        <v>233</v>
      </c>
      <c r="H53" s="4" t="s">
        <v>200</v>
      </c>
      <c r="J53" s="1" t="s">
        <v>28</v>
      </c>
      <c r="K53" s="4">
        <v>1.1200000000000001</v>
      </c>
      <c r="L53" s="4">
        <v>879.79780000000005</v>
      </c>
      <c r="M53" s="6">
        <v>18</v>
      </c>
      <c r="N53" s="6">
        <f t="shared" si="0"/>
        <v>177.36723648000003</v>
      </c>
      <c r="O53" s="1">
        <v>4</v>
      </c>
      <c r="P53" s="1">
        <f t="shared" si="2"/>
        <v>39.414941440000007</v>
      </c>
      <c r="Q53" s="6">
        <f t="shared" si="1"/>
        <v>985.37353600000017</v>
      </c>
      <c r="X53" s="6">
        <f t="shared" si="3"/>
        <v>1202.1557139200004</v>
      </c>
      <c r="AB53" s="4" t="s">
        <v>234</v>
      </c>
      <c r="AC53" s="4" t="s">
        <v>232</v>
      </c>
    </row>
    <row r="54" spans="1:29" ht="33.75" customHeight="1" x14ac:dyDescent="0.35">
      <c r="A54" s="4" t="s">
        <v>31</v>
      </c>
      <c r="B54" s="4">
        <v>26055425</v>
      </c>
      <c r="C54" s="4" t="s">
        <v>27</v>
      </c>
      <c r="D54" s="4" t="s">
        <v>45</v>
      </c>
      <c r="F54" s="7">
        <v>9999999</v>
      </c>
      <c r="G54" s="6" t="s">
        <v>233</v>
      </c>
      <c r="H54" s="4" t="s">
        <v>187</v>
      </c>
      <c r="J54" s="1" t="s">
        <v>28</v>
      </c>
      <c r="K54" s="4">
        <v>0.64800000000000002</v>
      </c>
      <c r="L54" s="4">
        <v>791.94590000000005</v>
      </c>
      <c r="M54" s="6">
        <v>18</v>
      </c>
      <c r="N54" s="6">
        <f t="shared" si="0"/>
        <v>92.372569775999992</v>
      </c>
      <c r="O54" s="1">
        <v>4</v>
      </c>
      <c r="P54" s="1">
        <f t="shared" si="2"/>
        <v>20.527237727999999</v>
      </c>
      <c r="Q54" s="6">
        <f t="shared" si="1"/>
        <v>513.1809432</v>
      </c>
      <c r="X54" s="6">
        <f t="shared" si="3"/>
        <v>626.08075070400002</v>
      </c>
      <c r="AB54" s="4" t="s">
        <v>234</v>
      </c>
      <c r="AC54" s="4" t="s">
        <v>232</v>
      </c>
    </row>
    <row r="55" spans="1:29" ht="33.75" customHeight="1" x14ac:dyDescent="0.35">
      <c r="A55" s="4" t="s">
        <v>31</v>
      </c>
      <c r="B55" s="4">
        <v>26055425</v>
      </c>
      <c r="C55" s="4" t="s">
        <v>27</v>
      </c>
      <c r="D55" s="4" t="s">
        <v>45</v>
      </c>
      <c r="F55" s="7">
        <v>9999999</v>
      </c>
      <c r="G55" s="13">
        <v>2005.2</v>
      </c>
      <c r="H55" s="4" t="s">
        <v>201</v>
      </c>
      <c r="J55" s="1" t="s">
        <v>28</v>
      </c>
      <c r="K55" s="4">
        <v>0.57599999999999996</v>
      </c>
      <c r="L55" s="4">
        <v>806.43380000000002</v>
      </c>
      <c r="M55" s="6">
        <v>18</v>
      </c>
      <c r="N55" s="6">
        <f t="shared" si="0"/>
        <v>83.611056383999994</v>
      </c>
      <c r="O55" s="1">
        <v>4</v>
      </c>
      <c r="P55" s="1">
        <f t="shared" si="2"/>
        <v>18.580234751999999</v>
      </c>
      <c r="Q55" s="6">
        <f t="shared" si="1"/>
        <v>464.50586879999997</v>
      </c>
      <c r="X55" s="6">
        <f t="shared" si="3"/>
        <v>566.69715993599993</v>
      </c>
      <c r="AB55" s="4" t="s">
        <v>234</v>
      </c>
      <c r="AC55" s="4" t="s">
        <v>232</v>
      </c>
    </row>
    <row r="56" spans="1:29" ht="33.75" customHeight="1" x14ac:dyDescent="0.35">
      <c r="A56" s="4" t="s">
        <v>31</v>
      </c>
      <c r="B56" s="4">
        <v>26055425</v>
      </c>
      <c r="C56" s="4" t="s">
        <v>27</v>
      </c>
      <c r="D56" s="4" t="s">
        <v>45</v>
      </c>
      <c r="F56" s="7">
        <v>9999999</v>
      </c>
      <c r="G56" s="13">
        <v>2005.2</v>
      </c>
      <c r="H56" s="4" t="s">
        <v>189</v>
      </c>
      <c r="J56" s="1" t="s">
        <v>28</v>
      </c>
      <c r="K56" s="4">
        <v>0.68799999999999994</v>
      </c>
      <c r="L56" s="4">
        <v>811.58249999999998</v>
      </c>
      <c r="M56" s="6">
        <v>18</v>
      </c>
      <c r="N56" s="6">
        <f t="shared" si="0"/>
        <v>100.50637679999998</v>
      </c>
      <c r="O56" s="1">
        <v>4</v>
      </c>
      <c r="P56" s="1">
        <f t="shared" si="2"/>
        <v>22.334750399999997</v>
      </c>
      <c r="Q56" s="6">
        <f t="shared" si="1"/>
        <v>558.36875999999995</v>
      </c>
      <c r="X56" s="6">
        <f t="shared" si="3"/>
        <v>681.20988719999991</v>
      </c>
      <c r="AB56" s="4" t="s">
        <v>234</v>
      </c>
      <c r="AC56" s="4" t="s">
        <v>232</v>
      </c>
    </row>
    <row r="57" spans="1:29" ht="33.75" customHeight="1" x14ac:dyDescent="0.35">
      <c r="A57" s="4" t="s">
        <v>31</v>
      </c>
      <c r="B57" s="4">
        <v>26055425</v>
      </c>
      <c r="C57" s="4" t="s">
        <v>27</v>
      </c>
      <c r="D57" s="4" t="s">
        <v>45</v>
      </c>
      <c r="F57" s="7">
        <v>9999999</v>
      </c>
      <c r="G57" s="6" t="s">
        <v>233</v>
      </c>
      <c r="H57" s="4" t="s">
        <v>202</v>
      </c>
      <c r="J57" s="1" t="s">
        <v>28</v>
      </c>
      <c r="K57" s="4">
        <v>0.84</v>
      </c>
      <c r="L57" s="4">
        <v>884.11969999999997</v>
      </c>
      <c r="M57" s="6">
        <v>18</v>
      </c>
      <c r="N57" s="6">
        <f t="shared" si="0"/>
        <v>133.67889864</v>
      </c>
      <c r="O57" s="1">
        <v>4</v>
      </c>
      <c r="P57" s="1">
        <f t="shared" si="2"/>
        <v>29.706421919999997</v>
      </c>
      <c r="Q57" s="6">
        <f t="shared" si="1"/>
        <v>742.66054799999995</v>
      </c>
      <c r="X57" s="6">
        <f t="shared" si="3"/>
        <v>906.04586856000003</v>
      </c>
      <c r="AB57" s="4" t="s">
        <v>234</v>
      </c>
      <c r="AC57" s="4" t="s">
        <v>232</v>
      </c>
    </row>
    <row r="58" spans="1:29" ht="33.75" customHeight="1" x14ac:dyDescent="0.35">
      <c r="A58" s="4" t="s">
        <v>31</v>
      </c>
      <c r="B58" s="4">
        <v>26055426</v>
      </c>
      <c r="C58" s="4" t="s">
        <v>27</v>
      </c>
      <c r="D58" s="4" t="s">
        <v>46</v>
      </c>
      <c r="F58" s="7">
        <v>9999999</v>
      </c>
      <c r="G58" s="13">
        <v>2005.2</v>
      </c>
      <c r="H58" s="4" t="s">
        <v>163</v>
      </c>
      <c r="J58" s="1" t="s">
        <v>28</v>
      </c>
      <c r="K58" s="4">
        <v>4.4999999999999998E-2</v>
      </c>
      <c r="L58" s="4">
        <v>51.452199999999998</v>
      </c>
      <c r="M58" s="6">
        <v>18</v>
      </c>
      <c r="N58" s="6">
        <f t="shared" si="0"/>
        <v>0.41676281999999998</v>
      </c>
      <c r="O58" s="1">
        <v>4</v>
      </c>
      <c r="P58" s="1">
        <f t="shared" si="2"/>
        <v>9.2613959999999995E-2</v>
      </c>
      <c r="Q58" s="6">
        <f t="shared" si="1"/>
        <v>2.3153489999999999</v>
      </c>
      <c r="X58" s="6">
        <f t="shared" si="3"/>
        <v>2.8247257800000001</v>
      </c>
      <c r="AB58" s="4" t="s">
        <v>234</v>
      </c>
      <c r="AC58" s="4" t="s">
        <v>232</v>
      </c>
    </row>
    <row r="59" spans="1:29" ht="33.75" customHeight="1" x14ac:dyDescent="0.35">
      <c r="A59" s="4" t="s">
        <v>31</v>
      </c>
      <c r="B59" s="4">
        <v>26055426</v>
      </c>
      <c r="C59" s="4" t="s">
        <v>27</v>
      </c>
      <c r="D59" s="4" t="s">
        <v>46</v>
      </c>
      <c r="F59" s="7">
        <v>9999999</v>
      </c>
      <c r="G59" s="6" t="s">
        <v>233</v>
      </c>
      <c r="H59" s="4" t="s">
        <v>203</v>
      </c>
      <c r="J59" s="1" t="s">
        <v>28</v>
      </c>
      <c r="K59" s="4">
        <v>0.70399999999999996</v>
      </c>
      <c r="L59" s="4">
        <v>952.03319999999997</v>
      </c>
      <c r="M59" s="6">
        <v>18</v>
      </c>
      <c r="N59" s="6">
        <f t="shared" si="0"/>
        <v>120.64164710399999</v>
      </c>
      <c r="O59" s="1">
        <v>4</v>
      </c>
      <c r="P59" s="1">
        <f t="shared" si="2"/>
        <v>26.809254911999997</v>
      </c>
      <c r="Q59" s="6">
        <f t="shared" si="1"/>
        <v>670.23137279999992</v>
      </c>
      <c r="X59" s="6">
        <f t="shared" si="3"/>
        <v>817.6822748159999</v>
      </c>
      <c r="AB59" s="4" t="s">
        <v>234</v>
      </c>
      <c r="AC59" s="4" t="s">
        <v>232</v>
      </c>
    </row>
    <row r="60" spans="1:29" ht="33.75" customHeight="1" x14ac:dyDescent="0.35">
      <c r="A60" s="4" t="s">
        <v>31</v>
      </c>
      <c r="B60" s="4">
        <v>26055427</v>
      </c>
      <c r="C60" s="4" t="s">
        <v>27</v>
      </c>
      <c r="D60" s="4" t="s">
        <v>47</v>
      </c>
      <c r="F60" s="7">
        <v>9999999</v>
      </c>
      <c r="G60" s="13">
        <v>2005.2</v>
      </c>
      <c r="H60" s="4" t="s">
        <v>163</v>
      </c>
      <c r="J60" s="1" t="s">
        <v>28</v>
      </c>
      <c r="K60" s="4">
        <v>0.72</v>
      </c>
      <c r="L60" s="4">
        <v>823.23450000000003</v>
      </c>
      <c r="M60" s="6">
        <v>18</v>
      </c>
      <c r="N60" s="6">
        <f t="shared" si="0"/>
        <v>106.69119119999999</v>
      </c>
      <c r="O60" s="1">
        <v>4</v>
      </c>
      <c r="P60" s="1">
        <f t="shared" si="2"/>
        <v>23.7091536</v>
      </c>
      <c r="Q60" s="6">
        <f t="shared" si="1"/>
        <v>592.72883999999999</v>
      </c>
      <c r="X60" s="6">
        <f t="shared" si="3"/>
        <v>723.12918480000008</v>
      </c>
      <c r="AB60" s="4" t="s">
        <v>234</v>
      </c>
      <c r="AC60" s="4" t="s">
        <v>232</v>
      </c>
    </row>
    <row r="61" spans="1:29" ht="33.75" customHeight="1" x14ac:dyDescent="0.35">
      <c r="A61" s="4" t="s">
        <v>31</v>
      </c>
      <c r="B61" s="4">
        <v>26055428</v>
      </c>
      <c r="C61" s="4" t="s">
        <v>27</v>
      </c>
      <c r="D61" s="4" t="s">
        <v>48</v>
      </c>
      <c r="F61" s="8">
        <v>3710116690235</v>
      </c>
      <c r="G61" s="13">
        <v>2005.2</v>
      </c>
      <c r="H61" s="4" t="s">
        <v>170</v>
      </c>
      <c r="J61" s="1" t="s">
        <v>28</v>
      </c>
      <c r="K61" s="4">
        <v>0.72</v>
      </c>
      <c r="L61" s="4">
        <v>887.71299999999997</v>
      </c>
      <c r="M61" s="6">
        <v>18</v>
      </c>
      <c r="N61" s="6">
        <f t="shared" si="0"/>
        <v>115.04760479999997</v>
      </c>
      <c r="O61" s="1">
        <v>4</v>
      </c>
      <c r="P61" s="1">
        <f t="shared" si="2"/>
        <v>25.566134399999996</v>
      </c>
      <c r="Q61" s="6">
        <f t="shared" si="1"/>
        <v>639.15335999999991</v>
      </c>
      <c r="X61" s="6">
        <f t="shared" si="3"/>
        <v>779.76709919999985</v>
      </c>
      <c r="AB61" s="4" t="s">
        <v>234</v>
      </c>
      <c r="AC61" s="4" t="s">
        <v>232</v>
      </c>
    </row>
    <row r="62" spans="1:29" ht="33.75" customHeight="1" x14ac:dyDescent="0.35">
      <c r="A62" s="4" t="s">
        <v>31</v>
      </c>
      <c r="B62" s="4">
        <v>26055428</v>
      </c>
      <c r="C62" s="4" t="s">
        <v>27</v>
      </c>
      <c r="D62" s="4" t="s">
        <v>48</v>
      </c>
      <c r="F62" s="8">
        <v>3710116690235</v>
      </c>
      <c r="G62" s="13">
        <v>2005.2</v>
      </c>
      <c r="H62" s="4" t="s">
        <v>165</v>
      </c>
      <c r="J62" s="1" t="s">
        <v>28</v>
      </c>
      <c r="K62" s="4">
        <v>0.72</v>
      </c>
      <c r="L62" s="4">
        <v>823.23450000000003</v>
      </c>
      <c r="M62" s="6">
        <v>18</v>
      </c>
      <c r="N62" s="6">
        <f t="shared" si="0"/>
        <v>106.69119119999999</v>
      </c>
      <c r="O62" s="1">
        <v>4</v>
      </c>
      <c r="P62" s="1">
        <f t="shared" si="2"/>
        <v>23.7091536</v>
      </c>
      <c r="Q62" s="6">
        <f t="shared" si="1"/>
        <v>592.72883999999999</v>
      </c>
      <c r="X62" s="6">
        <f t="shared" si="3"/>
        <v>723.12918480000008</v>
      </c>
      <c r="AB62" s="4" t="s">
        <v>234</v>
      </c>
      <c r="AC62" s="4" t="s">
        <v>232</v>
      </c>
    </row>
    <row r="63" spans="1:29" ht="33.75" customHeight="1" x14ac:dyDescent="0.35">
      <c r="A63" s="4" t="s">
        <v>31</v>
      </c>
      <c r="B63" s="4">
        <v>26055428</v>
      </c>
      <c r="C63" s="4" t="s">
        <v>27</v>
      </c>
      <c r="D63" s="4" t="s">
        <v>48</v>
      </c>
      <c r="F63" s="8">
        <v>3710116690235</v>
      </c>
      <c r="G63" s="13">
        <v>2005.2</v>
      </c>
      <c r="H63" s="4" t="s">
        <v>177</v>
      </c>
      <c r="J63" s="1" t="s">
        <v>28</v>
      </c>
      <c r="K63" s="4">
        <v>0.69599999999999995</v>
      </c>
      <c r="L63" s="4">
        <v>887.71299999999997</v>
      </c>
      <c r="M63" s="6">
        <v>18</v>
      </c>
      <c r="N63" s="6">
        <f t="shared" si="0"/>
        <v>111.21268463999998</v>
      </c>
      <c r="O63" s="1">
        <v>4</v>
      </c>
      <c r="P63" s="1">
        <f t="shared" si="2"/>
        <v>24.713929919999995</v>
      </c>
      <c r="Q63" s="6">
        <f t="shared" si="1"/>
        <v>617.8482479999999</v>
      </c>
      <c r="X63" s="6">
        <f t="shared" si="3"/>
        <v>753.77486255999986</v>
      </c>
      <c r="AB63" s="4" t="s">
        <v>234</v>
      </c>
      <c r="AC63" s="4" t="s">
        <v>232</v>
      </c>
    </row>
    <row r="64" spans="1:29" ht="33.75" customHeight="1" x14ac:dyDescent="0.35">
      <c r="A64" s="4" t="s">
        <v>31</v>
      </c>
      <c r="B64" s="4">
        <v>26055428</v>
      </c>
      <c r="C64" s="4" t="s">
        <v>27</v>
      </c>
      <c r="D64" s="4" t="s">
        <v>48</v>
      </c>
      <c r="F64" s="8">
        <v>3710116690235</v>
      </c>
      <c r="G64" s="13">
        <v>2005.2</v>
      </c>
      <c r="H64" s="4" t="s">
        <v>178</v>
      </c>
      <c r="J64" s="1" t="s">
        <v>28</v>
      </c>
      <c r="K64" s="4">
        <v>0.68799999999999994</v>
      </c>
      <c r="L64" s="4">
        <v>828.49040000000002</v>
      </c>
      <c r="M64" s="6">
        <v>18</v>
      </c>
      <c r="N64" s="6">
        <f t="shared" si="0"/>
        <v>102.60025113599998</v>
      </c>
      <c r="O64" s="1">
        <v>4</v>
      </c>
      <c r="P64" s="1">
        <f t="shared" si="2"/>
        <v>22.800055807999996</v>
      </c>
      <c r="Q64" s="6">
        <f t="shared" si="1"/>
        <v>570.00139519999993</v>
      </c>
      <c r="X64" s="6">
        <f t="shared" si="3"/>
        <v>695.40170214399996</v>
      </c>
      <c r="AB64" s="4" t="s">
        <v>234</v>
      </c>
      <c r="AC64" s="4" t="s">
        <v>232</v>
      </c>
    </row>
    <row r="65" spans="1:29" ht="33.75" customHeight="1" x14ac:dyDescent="0.35">
      <c r="A65" s="4" t="s">
        <v>31</v>
      </c>
      <c r="B65" s="4">
        <v>26055429</v>
      </c>
      <c r="C65" s="4" t="s">
        <v>27</v>
      </c>
      <c r="D65" s="4" t="s">
        <v>49</v>
      </c>
      <c r="F65" s="7">
        <v>9999999</v>
      </c>
      <c r="G65" s="13">
        <v>2005.2</v>
      </c>
      <c r="H65" s="4" t="s">
        <v>163</v>
      </c>
      <c r="J65" s="1" t="s">
        <v>28</v>
      </c>
      <c r="K65" s="4">
        <v>4.4999999999999998E-2</v>
      </c>
      <c r="L65" s="4">
        <v>52.502200000000002</v>
      </c>
      <c r="M65" s="6">
        <v>18</v>
      </c>
      <c r="N65" s="6">
        <f t="shared" si="0"/>
        <v>0.42526781999999996</v>
      </c>
      <c r="O65" s="1">
        <v>4</v>
      </c>
      <c r="P65" s="1">
        <f t="shared" si="2"/>
        <v>9.4503959999999998E-2</v>
      </c>
      <c r="Q65" s="6">
        <f t="shared" si="1"/>
        <v>2.3625989999999999</v>
      </c>
      <c r="X65" s="6">
        <f t="shared" si="3"/>
        <v>2.8823707799999996</v>
      </c>
      <c r="AB65" s="4" t="s">
        <v>234</v>
      </c>
      <c r="AC65" s="4" t="s">
        <v>232</v>
      </c>
    </row>
    <row r="66" spans="1:29" ht="33.75" customHeight="1" x14ac:dyDescent="0.35">
      <c r="A66" s="4" t="s">
        <v>31</v>
      </c>
      <c r="B66" s="4">
        <v>26055430</v>
      </c>
      <c r="C66" s="4" t="s">
        <v>27</v>
      </c>
      <c r="D66" s="4" t="s">
        <v>50</v>
      </c>
      <c r="F66" s="8">
        <v>3710154727327</v>
      </c>
      <c r="G66" s="13">
        <v>2005.2</v>
      </c>
      <c r="H66" s="4" t="s">
        <v>165</v>
      </c>
      <c r="J66" s="1" t="s">
        <v>28</v>
      </c>
      <c r="K66" s="4">
        <v>4.4999999999999998E-2</v>
      </c>
      <c r="L66" s="4">
        <v>50.402099999999997</v>
      </c>
      <c r="M66" s="6">
        <v>18</v>
      </c>
      <c r="N66" s="6">
        <f t="shared" ref="N66:N129" si="4">K66*L66*(M66%)</f>
        <v>0.40825700999999992</v>
      </c>
      <c r="O66" s="1">
        <v>4</v>
      </c>
      <c r="P66" s="1">
        <f t="shared" si="2"/>
        <v>9.072377999999999E-2</v>
      </c>
      <c r="Q66" s="6">
        <f t="shared" ref="Q66:Q129" si="5">K66*L66</f>
        <v>2.2680944999999997</v>
      </c>
      <c r="X66" s="6">
        <f t="shared" si="3"/>
        <v>2.7670752899999993</v>
      </c>
      <c r="AB66" s="4" t="s">
        <v>234</v>
      </c>
      <c r="AC66" s="4" t="s">
        <v>232</v>
      </c>
    </row>
    <row r="67" spans="1:29" ht="33.75" customHeight="1" x14ac:dyDescent="0.35">
      <c r="A67" s="4" t="s">
        <v>31</v>
      </c>
      <c r="B67" s="4">
        <v>26055431</v>
      </c>
      <c r="C67" s="4" t="s">
        <v>27</v>
      </c>
      <c r="D67" s="4" t="s">
        <v>51</v>
      </c>
      <c r="F67" s="7">
        <v>9999999</v>
      </c>
      <c r="G67" s="13">
        <v>2005.2</v>
      </c>
      <c r="H67" s="4" t="s">
        <v>163</v>
      </c>
      <c r="J67" s="1" t="s">
        <v>28</v>
      </c>
      <c r="K67" s="4">
        <v>4.4999999999999998E-2</v>
      </c>
      <c r="L67" s="4">
        <v>52.502200000000002</v>
      </c>
      <c r="M67" s="6">
        <v>18</v>
      </c>
      <c r="N67" s="6">
        <f t="shared" si="4"/>
        <v>0.42526781999999996</v>
      </c>
      <c r="O67" s="1">
        <v>4</v>
      </c>
      <c r="P67" s="1">
        <f t="shared" ref="P67:P130" si="6">Q67*4/100</f>
        <v>9.4503959999999998E-2</v>
      </c>
      <c r="Q67" s="6">
        <f t="shared" si="5"/>
        <v>2.3625989999999999</v>
      </c>
      <c r="X67" s="6">
        <f t="shared" ref="X67:X130" si="7">Q67+N67+P67</f>
        <v>2.8823707799999996</v>
      </c>
      <c r="AB67" s="4" t="s">
        <v>234</v>
      </c>
      <c r="AC67" s="4" t="s">
        <v>232</v>
      </c>
    </row>
    <row r="68" spans="1:29" ht="33.75" customHeight="1" x14ac:dyDescent="0.35">
      <c r="A68" s="4" t="s">
        <v>31</v>
      </c>
      <c r="B68" s="4">
        <v>26055432</v>
      </c>
      <c r="C68" s="4" t="s">
        <v>27</v>
      </c>
      <c r="D68" s="4" t="s">
        <v>52</v>
      </c>
      <c r="F68" s="7">
        <v>9999999</v>
      </c>
      <c r="G68" s="13">
        <v>2005.2</v>
      </c>
      <c r="H68" s="4" t="s">
        <v>163</v>
      </c>
      <c r="J68" s="1" t="s">
        <v>28</v>
      </c>
      <c r="K68" s="4">
        <v>4.4999999999999998E-2</v>
      </c>
      <c r="L68" s="4">
        <v>52.502200000000002</v>
      </c>
      <c r="M68" s="6">
        <v>18</v>
      </c>
      <c r="N68" s="6">
        <f t="shared" si="4"/>
        <v>0.42526781999999996</v>
      </c>
      <c r="O68" s="1">
        <v>4</v>
      </c>
      <c r="P68" s="1">
        <f t="shared" si="6"/>
        <v>9.4503959999999998E-2</v>
      </c>
      <c r="Q68" s="6">
        <f t="shared" si="5"/>
        <v>2.3625989999999999</v>
      </c>
      <c r="X68" s="6">
        <f t="shared" si="7"/>
        <v>2.8823707799999996</v>
      </c>
      <c r="AB68" s="4" t="s">
        <v>234</v>
      </c>
      <c r="AC68" s="4" t="s">
        <v>232</v>
      </c>
    </row>
    <row r="69" spans="1:29" ht="33.75" customHeight="1" x14ac:dyDescent="0.35">
      <c r="A69" s="4" t="s">
        <v>31</v>
      </c>
      <c r="B69" s="4">
        <v>26055433</v>
      </c>
      <c r="C69" s="4" t="s">
        <v>27</v>
      </c>
      <c r="D69" s="4" t="s">
        <v>53</v>
      </c>
      <c r="F69" s="7">
        <v>9999999</v>
      </c>
      <c r="G69" s="13">
        <v>2005.2</v>
      </c>
      <c r="H69" s="4" t="s">
        <v>163</v>
      </c>
      <c r="J69" s="1" t="s">
        <v>28</v>
      </c>
      <c r="K69" s="4">
        <v>4.4999999999999998E-2</v>
      </c>
      <c r="L69" s="4">
        <v>52.502200000000002</v>
      </c>
      <c r="M69" s="6">
        <v>18</v>
      </c>
      <c r="N69" s="6">
        <f t="shared" si="4"/>
        <v>0.42526781999999996</v>
      </c>
      <c r="O69" s="1">
        <v>4</v>
      </c>
      <c r="P69" s="1">
        <f t="shared" si="6"/>
        <v>9.4503959999999998E-2</v>
      </c>
      <c r="Q69" s="6">
        <f t="shared" si="5"/>
        <v>2.3625989999999999</v>
      </c>
      <c r="X69" s="6">
        <f t="shared" si="7"/>
        <v>2.8823707799999996</v>
      </c>
      <c r="AB69" s="4" t="s">
        <v>234</v>
      </c>
      <c r="AC69" s="4" t="s">
        <v>232</v>
      </c>
    </row>
    <row r="70" spans="1:29" ht="33.75" customHeight="1" x14ac:dyDescent="0.35">
      <c r="A70" s="4" t="s">
        <v>31</v>
      </c>
      <c r="B70" s="4">
        <v>26055434</v>
      </c>
      <c r="C70" s="4" t="s">
        <v>27</v>
      </c>
      <c r="D70" s="4" t="s">
        <v>54</v>
      </c>
      <c r="F70" s="7">
        <v>9999999</v>
      </c>
      <c r="G70" s="6" t="s">
        <v>233</v>
      </c>
      <c r="H70" s="4" t="s">
        <v>202</v>
      </c>
      <c r="J70" s="1" t="s">
        <v>28</v>
      </c>
      <c r="K70" s="4">
        <v>0.84</v>
      </c>
      <c r="L70" s="4">
        <v>920.95799999999997</v>
      </c>
      <c r="M70" s="6">
        <v>18</v>
      </c>
      <c r="N70" s="6">
        <f t="shared" si="4"/>
        <v>139.24884959999997</v>
      </c>
      <c r="O70" s="1">
        <v>4</v>
      </c>
      <c r="P70" s="1">
        <f t="shared" si="6"/>
        <v>30.944188799999996</v>
      </c>
      <c r="Q70" s="6">
        <f t="shared" si="5"/>
        <v>773.60471999999993</v>
      </c>
      <c r="X70" s="6">
        <f t="shared" si="7"/>
        <v>943.79775839999991</v>
      </c>
      <c r="AB70" s="4" t="s">
        <v>234</v>
      </c>
      <c r="AC70" s="4" t="s">
        <v>232</v>
      </c>
    </row>
    <row r="71" spans="1:29" ht="33.75" customHeight="1" x14ac:dyDescent="0.35">
      <c r="A71" s="4" t="s">
        <v>31</v>
      </c>
      <c r="B71" s="4">
        <v>26055435</v>
      </c>
      <c r="C71" s="4" t="s">
        <v>27</v>
      </c>
      <c r="D71" s="4" t="s">
        <v>55</v>
      </c>
      <c r="F71" s="7">
        <v>9999999</v>
      </c>
      <c r="G71" s="6" t="s">
        <v>233</v>
      </c>
      <c r="H71" s="4" t="s">
        <v>197</v>
      </c>
      <c r="J71" s="1" t="s">
        <v>28</v>
      </c>
      <c r="K71" s="4">
        <v>0.70399999999999996</v>
      </c>
      <c r="L71" s="4">
        <v>983.2</v>
      </c>
      <c r="M71" s="6">
        <v>18</v>
      </c>
      <c r="N71" s="6">
        <f t="shared" si="4"/>
        <v>124.59110399999999</v>
      </c>
      <c r="O71" s="1">
        <v>4</v>
      </c>
      <c r="P71" s="1">
        <f t="shared" si="6"/>
        <v>27.686911999999996</v>
      </c>
      <c r="Q71" s="6">
        <f t="shared" si="5"/>
        <v>692.17279999999994</v>
      </c>
      <c r="X71" s="6">
        <f t="shared" si="7"/>
        <v>844.45081599999992</v>
      </c>
      <c r="AB71" s="4" t="s">
        <v>234</v>
      </c>
      <c r="AC71" s="4" t="s">
        <v>232</v>
      </c>
    </row>
    <row r="72" spans="1:29" ht="33.75" customHeight="1" x14ac:dyDescent="0.35">
      <c r="A72" s="4" t="s">
        <v>31</v>
      </c>
      <c r="B72" s="4">
        <v>26055436</v>
      </c>
      <c r="C72" s="4" t="s">
        <v>27</v>
      </c>
      <c r="D72" s="4" t="s">
        <v>56</v>
      </c>
      <c r="F72" s="7">
        <v>9999999</v>
      </c>
      <c r="G72" s="13">
        <v>2005.2</v>
      </c>
      <c r="H72" s="4" t="s">
        <v>204</v>
      </c>
      <c r="J72" s="1" t="s">
        <v>28</v>
      </c>
      <c r="K72" s="4">
        <v>0.76800000000000002</v>
      </c>
      <c r="L72" s="4">
        <v>1093.9104</v>
      </c>
      <c r="M72" s="6">
        <v>18</v>
      </c>
      <c r="N72" s="6">
        <f t="shared" si="4"/>
        <v>151.222173696</v>
      </c>
      <c r="O72" s="1">
        <v>4</v>
      </c>
      <c r="P72" s="1">
        <f t="shared" si="6"/>
        <v>33.604927488000001</v>
      </c>
      <c r="Q72" s="6">
        <f t="shared" si="5"/>
        <v>840.12318719999996</v>
      </c>
      <c r="X72" s="6">
        <f t="shared" si="7"/>
        <v>1024.950288384</v>
      </c>
      <c r="AB72" s="4" t="s">
        <v>234</v>
      </c>
      <c r="AC72" s="4" t="s">
        <v>232</v>
      </c>
    </row>
    <row r="73" spans="1:29" ht="33.75" customHeight="1" x14ac:dyDescent="0.35">
      <c r="A73" s="4" t="s">
        <v>31</v>
      </c>
      <c r="B73" s="4">
        <v>26055437</v>
      </c>
      <c r="C73" s="4" t="s">
        <v>27</v>
      </c>
      <c r="D73" s="4" t="s">
        <v>57</v>
      </c>
      <c r="F73" s="7">
        <v>9999999</v>
      </c>
      <c r="G73" s="13">
        <v>2005.2</v>
      </c>
      <c r="H73" s="4" t="s">
        <v>188</v>
      </c>
      <c r="J73" s="1" t="s">
        <v>28</v>
      </c>
      <c r="K73" s="4">
        <v>0.69599999999999995</v>
      </c>
      <c r="L73" s="4">
        <v>905.82960000000003</v>
      </c>
      <c r="M73" s="6">
        <v>18</v>
      </c>
      <c r="N73" s="6">
        <f t="shared" si="4"/>
        <v>113.48233228799999</v>
      </c>
      <c r="O73" s="1">
        <v>4</v>
      </c>
      <c r="P73" s="1">
        <f t="shared" si="6"/>
        <v>25.218296064</v>
      </c>
      <c r="Q73" s="6">
        <f t="shared" si="5"/>
        <v>630.45740160000003</v>
      </c>
      <c r="X73" s="6">
        <f t="shared" si="7"/>
        <v>769.15802995199999</v>
      </c>
      <c r="AB73" s="4" t="s">
        <v>234</v>
      </c>
      <c r="AC73" s="4" t="s">
        <v>232</v>
      </c>
    </row>
    <row r="74" spans="1:29" ht="33.75" customHeight="1" x14ac:dyDescent="0.35">
      <c r="A74" s="4" t="s">
        <v>31</v>
      </c>
      <c r="B74" s="4">
        <v>26055438</v>
      </c>
      <c r="C74" s="4" t="s">
        <v>27</v>
      </c>
      <c r="D74" s="4" t="s">
        <v>58</v>
      </c>
      <c r="F74" s="7">
        <v>9999999</v>
      </c>
      <c r="G74" s="13">
        <v>2005.2</v>
      </c>
      <c r="H74" s="4" t="s">
        <v>205</v>
      </c>
      <c r="J74" s="1" t="s">
        <v>28</v>
      </c>
      <c r="K74" s="4">
        <v>0.86399999999999999</v>
      </c>
      <c r="L74" s="4">
        <v>867.64840000000004</v>
      </c>
      <c r="M74" s="6">
        <v>18</v>
      </c>
      <c r="N74" s="6">
        <f t="shared" si="4"/>
        <v>134.93667916800001</v>
      </c>
      <c r="O74" s="1">
        <v>4</v>
      </c>
      <c r="P74" s="1">
        <f t="shared" si="6"/>
        <v>29.985928704000003</v>
      </c>
      <c r="Q74" s="6">
        <f t="shared" si="5"/>
        <v>749.64821760000007</v>
      </c>
      <c r="X74" s="6">
        <f t="shared" si="7"/>
        <v>914.57082547200014</v>
      </c>
      <c r="AB74" s="4" t="s">
        <v>234</v>
      </c>
      <c r="AC74" s="4" t="s">
        <v>232</v>
      </c>
    </row>
    <row r="75" spans="1:29" ht="33.75" customHeight="1" x14ac:dyDescent="0.35">
      <c r="A75" s="4" t="s">
        <v>31</v>
      </c>
      <c r="B75" s="4">
        <v>26055438</v>
      </c>
      <c r="C75" s="4" t="s">
        <v>27</v>
      </c>
      <c r="D75" s="4" t="s">
        <v>58</v>
      </c>
      <c r="F75" s="7">
        <v>9999999</v>
      </c>
      <c r="G75" s="13">
        <v>2005.2</v>
      </c>
      <c r="H75" s="4" t="s">
        <v>181</v>
      </c>
      <c r="J75" s="1" t="s">
        <v>28</v>
      </c>
      <c r="K75" s="4">
        <v>0.72</v>
      </c>
      <c r="L75" s="4">
        <v>869.59640000000002</v>
      </c>
      <c r="M75" s="6">
        <v>18</v>
      </c>
      <c r="N75" s="6">
        <f t="shared" si="4"/>
        <v>112.69969344</v>
      </c>
      <c r="O75" s="1">
        <v>4</v>
      </c>
      <c r="P75" s="1">
        <f t="shared" si="6"/>
        <v>25.044376320000001</v>
      </c>
      <c r="Q75" s="6">
        <f t="shared" si="5"/>
        <v>626.10940800000003</v>
      </c>
      <c r="X75" s="6">
        <f t="shared" si="7"/>
        <v>763.85347776000003</v>
      </c>
      <c r="AB75" s="4" t="s">
        <v>234</v>
      </c>
      <c r="AC75" s="4" t="s">
        <v>232</v>
      </c>
    </row>
    <row r="76" spans="1:29" ht="33.75" customHeight="1" x14ac:dyDescent="0.35">
      <c r="A76" s="4" t="s">
        <v>31</v>
      </c>
      <c r="B76" s="4">
        <v>26055438</v>
      </c>
      <c r="C76" s="4" t="s">
        <v>27</v>
      </c>
      <c r="D76" s="4" t="s">
        <v>58</v>
      </c>
      <c r="F76" s="7">
        <v>9999999</v>
      </c>
      <c r="G76" s="13">
        <v>2005.2</v>
      </c>
      <c r="H76" s="4" t="s">
        <v>195</v>
      </c>
      <c r="J76" s="1" t="s">
        <v>28</v>
      </c>
      <c r="K76" s="4">
        <v>0.72</v>
      </c>
      <c r="L76" s="4">
        <v>811.58249999999998</v>
      </c>
      <c r="M76" s="6">
        <v>18</v>
      </c>
      <c r="N76" s="6">
        <f t="shared" si="4"/>
        <v>105.18109199999999</v>
      </c>
      <c r="O76" s="1">
        <v>4</v>
      </c>
      <c r="P76" s="1">
        <f t="shared" si="6"/>
        <v>23.373576</v>
      </c>
      <c r="Q76" s="6">
        <f t="shared" si="5"/>
        <v>584.33939999999996</v>
      </c>
      <c r="X76" s="6">
        <f t="shared" si="7"/>
        <v>712.89406799999995</v>
      </c>
      <c r="AB76" s="4" t="s">
        <v>234</v>
      </c>
      <c r="AC76" s="4" t="s">
        <v>232</v>
      </c>
    </row>
    <row r="77" spans="1:29" ht="33.75" customHeight="1" x14ac:dyDescent="0.35">
      <c r="A77" s="4" t="s">
        <v>31</v>
      </c>
      <c r="B77" s="4">
        <v>26055438</v>
      </c>
      <c r="C77" s="4" t="s">
        <v>27</v>
      </c>
      <c r="D77" s="4" t="s">
        <v>58</v>
      </c>
      <c r="F77" s="7">
        <v>9999999</v>
      </c>
      <c r="G77" s="13">
        <v>2005.2</v>
      </c>
      <c r="H77" s="4" t="s">
        <v>163</v>
      </c>
      <c r="J77" s="1" t="s">
        <v>28</v>
      </c>
      <c r="K77" s="4">
        <v>0.72</v>
      </c>
      <c r="L77" s="4">
        <v>806.43380000000002</v>
      </c>
      <c r="M77" s="6">
        <v>18</v>
      </c>
      <c r="N77" s="6">
        <f t="shared" si="4"/>
        <v>104.51382047999999</v>
      </c>
      <c r="O77" s="1">
        <v>4</v>
      </c>
      <c r="P77" s="1">
        <f t="shared" si="6"/>
        <v>23.225293440000002</v>
      </c>
      <c r="Q77" s="6">
        <f t="shared" si="5"/>
        <v>580.63233600000001</v>
      </c>
      <c r="X77" s="6">
        <f t="shared" si="7"/>
        <v>708.37144991999992</v>
      </c>
      <c r="AB77" s="4" t="s">
        <v>234</v>
      </c>
      <c r="AC77" s="4" t="s">
        <v>232</v>
      </c>
    </row>
    <row r="78" spans="1:29" ht="33.75" customHeight="1" x14ac:dyDescent="0.35">
      <c r="A78" s="4" t="s">
        <v>31</v>
      </c>
      <c r="B78" s="4">
        <v>26055438</v>
      </c>
      <c r="C78" s="4" t="s">
        <v>27</v>
      </c>
      <c r="D78" s="4" t="s">
        <v>58</v>
      </c>
      <c r="F78" s="7">
        <v>9999999</v>
      </c>
      <c r="G78" s="13">
        <v>2005.2</v>
      </c>
      <c r="H78" s="4" t="s">
        <v>206</v>
      </c>
      <c r="J78" s="1" t="s">
        <v>28</v>
      </c>
      <c r="K78" s="4">
        <v>0.67200000000000004</v>
      </c>
      <c r="L78" s="4">
        <v>875.9393</v>
      </c>
      <c r="M78" s="6">
        <v>18</v>
      </c>
      <c r="N78" s="6">
        <f t="shared" si="4"/>
        <v>105.953617728</v>
      </c>
      <c r="O78" s="1">
        <v>4</v>
      </c>
      <c r="P78" s="1">
        <f t="shared" si="6"/>
        <v>23.545248384000001</v>
      </c>
      <c r="Q78" s="6">
        <f t="shared" si="5"/>
        <v>588.63120960000003</v>
      </c>
      <c r="X78" s="6">
        <f t="shared" si="7"/>
        <v>718.13007571200012</v>
      </c>
      <c r="AB78" s="4" t="s">
        <v>234</v>
      </c>
      <c r="AC78" s="4" t="s">
        <v>232</v>
      </c>
    </row>
    <row r="79" spans="1:29" ht="33.75" customHeight="1" x14ac:dyDescent="0.35">
      <c r="A79" s="4" t="s">
        <v>31</v>
      </c>
      <c r="B79" s="4">
        <v>26055438</v>
      </c>
      <c r="C79" s="4" t="s">
        <v>27</v>
      </c>
      <c r="D79" s="4" t="s">
        <v>58</v>
      </c>
      <c r="F79" s="7">
        <v>9999999</v>
      </c>
      <c r="G79" s="13">
        <v>2005.2</v>
      </c>
      <c r="H79" s="4" t="s">
        <v>188</v>
      </c>
      <c r="J79" s="1" t="s">
        <v>28</v>
      </c>
      <c r="K79" s="4">
        <v>0.69599999999999995</v>
      </c>
      <c r="L79" s="4">
        <v>869.59640000000002</v>
      </c>
      <c r="M79" s="6">
        <v>18</v>
      </c>
      <c r="N79" s="6">
        <f t="shared" si="4"/>
        <v>108.94303699199999</v>
      </c>
      <c r="O79" s="1">
        <v>4</v>
      </c>
      <c r="P79" s="1">
        <f t="shared" si="6"/>
        <v>24.209563776</v>
      </c>
      <c r="Q79" s="6">
        <f t="shared" si="5"/>
        <v>605.2390944</v>
      </c>
      <c r="X79" s="6">
        <f t="shared" si="7"/>
        <v>738.39169516799996</v>
      </c>
      <c r="AB79" s="4" t="s">
        <v>234</v>
      </c>
      <c r="AC79" s="4" t="s">
        <v>232</v>
      </c>
    </row>
    <row r="80" spans="1:29" ht="33.75" customHeight="1" x14ac:dyDescent="0.35">
      <c r="A80" s="4" t="s">
        <v>31</v>
      </c>
      <c r="B80" s="4">
        <v>26055438</v>
      </c>
      <c r="C80" s="4" t="s">
        <v>27</v>
      </c>
      <c r="D80" s="4" t="s">
        <v>58</v>
      </c>
      <c r="F80" s="7">
        <v>9999999</v>
      </c>
      <c r="G80" s="13">
        <v>2005.2</v>
      </c>
      <c r="H80" s="4" t="s">
        <v>189</v>
      </c>
      <c r="J80" s="1" t="s">
        <v>28</v>
      </c>
      <c r="K80" s="4">
        <v>0.68799999999999994</v>
      </c>
      <c r="L80" s="4">
        <v>811.58249999999998</v>
      </c>
      <c r="M80" s="6">
        <v>18</v>
      </c>
      <c r="N80" s="6">
        <f t="shared" si="4"/>
        <v>100.50637679999998</v>
      </c>
      <c r="O80" s="1">
        <v>4</v>
      </c>
      <c r="P80" s="1">
        <f t="shared" si="6"/>
        <v>22.334750399999997</v>
      </c>
      <c r="Q80" s="6">
        <f t="shared" si="5"/>
        <v>558.36875999999995</v>
      </c>
      <c r="X80" s="6">
        <f t="shared" si="7"/>
        <v>681.20988719999991</v>
      </c>
      <c r="AB80" s="4" t="s">
        <v>234</v>
      </c>
      <c r="AC80" s="4" t="s">
        <v>232</v>
      </c>
    </row>
    <row r="81" spans="1:29" ht="33.75" customHeight="1" x14ac:dyDescent="0.35">
      <c r="A81" s="4" t="s">
        <v>31</v>
      </c>
      <c r="B81" s="4">
        <v>26055438</v>
      </c>
      <c r="C81" s="4" t="s">
        <v>27</v>
      </c>
      <c r="D81" s="4" t="s">
        <v>58</v>
      </c>
      <c r="F81" s="7">
        <v>9999999</v>
      </c>
      <c r="G81" s="13">
        <v>2005.2</v>
      </c>
      <c r="H81" s="4" t="s">
        <v>207</v>
      </c>
      <c r="J81" s="1" t="s">
        <v>28</v>
      </c>
      <c r="K81" s="4">
        <v>1.3919999999999999</v>
      </c>
      <c r="L81" s="4">
        <v>1299.1277</v>
      </c>
      <c r="M81" s="6">
        <v>18</v>
      </c>
      <c r="N81" s="6">
        <f t="shared" si="4"/>
        <v>325.50943651199998</v>
      </c>
      <c r="O81" s="1">
        <v>4</v>
      </c>
      <c r="P81" s="1">
        <f t="shared" si="6"/>
        <v>72.335430336000002</v>
      </c>
      <c r="Q81" s="6">
        <f t="shared" si="5"/>
        <v>1808.3857584</v>
      </c>
      <c r="X81" s="6">
        <f t="shared" si="7"/>
        <v>2206.2306252480003</v>
      </c>
      <c r="AB81" s="4" t="s">
        <v>234</v>
      </c>
      <c r="AC81" s="4" t="s">
        <v>232</v>
      </c>
    </row>
    <row r="82" spans="1:29" ht="33.75" customHeight="1" x14ac:dyDescent="0.35">
      <c r="A82" s="4" t="s">
        <v>31</v>
      </c>
      <c r="B82" s="4">
        <v>26055439</v>
      </c>
      <c r="C82" s="4" t="s">
        <v>27</v>
      </c>
      <c r="D82" s="4" t="s">
        <v>59</v>
      </c>
      <c r="F82" s="8">
        <v>3593760</v>
      </c>
      <c r="G82" s="13">
        <v>2005.2</v>
      </c>
      <c r="H82" s="4" t="s">
        <v>165</v>
      </c>
      <c r="J82" s="1" t="s">
        <v>28</v>
      </c>
      <c r="K82" s="4">
        <v>4.4999999999999998E-2</v>
      </c>
      <c r="L82" s="4">
        <v>51.452199999999998</v>
      </c>
      <c r="M82" s="6">
        <v>18</v>
      </c>
      <c r="N82" s="6">
        <f t="shared" si="4"/>
        <v>0.41676281999999998</v>
      </c>
      <c r="O82" s="1">
        <v>4</v>
      </c>
      <c r="P82" s="1">
        <f t="shared" si="6"/>
        <v>9.2613959999999995E-2</v>
      </c>
      <c r="Q82" s="6">
        <f t="shared" si="5"/>
        <v>2.3153489999999999</v>
      </c>
      <c r="X82" s="6">
        <f t="shared" si="7"/>
        <v>2.8247257800000001</v>
      </c>
      <c r="AB82" s="4" t="s">
        <v>234</v>
      </c>
      <c r="AC82" s="4" t="s">
        <v>232</v>
      </c>
    </row>
    <row r="83" spans="1:29" ht="33.75" customHeight="1" x14ac:dyDescent="0.35">
      <c r="A83" s="4" t="s">
        <v>31</v>
      </c>
      <c r="B83" s="4">
        <v>26055440</v>
      </c>
      <c r="C83" s="4" t="s">
        <v>27</v>
      </c>
      <c r="D83" s="4" t="s">
        <v>60</v>
      </c>
      <c r="F83" s="7">
        <v>9999999</v>
      </c>
      <c r="G83" s="13">
        <v>2005.2</v>
      </c>
      <c r="H83" s="4" t="s">
        <v>182</v>
      </c>
      <c r="J83" s="1" t="s">
        <v>28</v>
      </c>
      <c r="K83" s="4">
        <v>0.03</v>
      </c>
      <c r="L83" s="4">
        <v>36.233199999999997</v>
      </c>
      <c r="M83" s="6">
        <v>18</v>
      </c>
      <c r="N83" s="6">
        <f t="shared" si="4"/>
        <v>0.19565927999999996</v>
      </c>
      <c r="O83" s="1">
        <v>4</v>
      </c>
      <c r="P83" s="1">
        <f t="shared" si="6"/>
        <v>4.3479839999999992E-2</v>
      </c>
      <c r="Q83" s="6">
        <f t="shared" si="5"/>
        <v>1.0869959999999999</v>
      </c>
      <c r="X83" s="6">
        <f t="shared" si="7"/>
        <v>1.3261351199999998</v>
      </c>
      <c r="AB83" s="4" t="s">
        <v>234</v>
      </c>
      <c r="AC83" s="4" t="s">
        <v>232</v>
      </c>
    </row>
    <row r="84" spans="1:29" ht="33.75" customHeight="1" x14ac:dyDescent="0.35">
      <c r="A84" s="4" t="s">
        <v>31</v>
      </c>
      <c r="B84" s="4">
        <v>26055441</v>
      </c>
      <c r="C84" s="4" t="s">
        <v>27</v>
      </c>
      <c r="D84" s="4" t="s">
        <v>61</v>
      </c>
      <c r="F84" s="8">
        <v>3710493333607</v>
      </c>
      <c r="G84" s="13">
        <v>2005.2</v>
      </c>
      <c r="H84" s="4" t="s">
        <v>170</v>
      </c>
      <c r="J84" s="1" t="s">
        <v>28</v>
      </c>
      <c r="K84" s="4">
        <v>0.03</v>
      </c>
      <c r="L84" s="4">
        <v>37.742899999999999</v>
      </c>
      <c r="M84" s="6">
        <v>18</v>
      </c>
      <c r="N84" s="6">
        <f t="shared" si="4"/>
        <v>0.20381165999999995</v>
      </c>
      <c r="O84" s="1">
        <v>4</v>
      </c>
      <c r="P84" s="1">
        <f t="shared" si="6"/>
        <v>4.5291479999999995E-2</v>
      </c>
      <c r="Q84" s="6">
        <f t="shared" si="5"/>
        <v>1.1322869999999998</v>
      </c>
      <c r="X84" s="6">
        <f t="shared" si="7"/>
        <v>1.3813901399999997</v>
      </c>
      <c r="AB84" s="4" t="s">
        <v>234</v>
      </c>
      <c r="AC84" s="4" t="s">
        <v>232</v>
      </c>
    </row>
    <row r="85" spans="1:29" ht="33.75" customHeight="1" x14ac:dyDescent="0.35">
      <c r="A85" s="4" t="s">
        <v>31</v>
      </c>
      <c r="B85" s="4">
        <v>26055442</v>
      </c>
      <c r="C85" s="4" t="s">
        <v>27</v>
      </c>
      <c r="D85" s="4" t="s">
        <v>62</v>
      </c>
      <c r="F85" s="7">
        <v>9999999</v>
      </c>
      <c r="G85" s="13">
        <v>2005.2</v>
      </c>
      <c r="H85" s="4" t="s">
        <v>182</v>
      </c>
      <c r="J85" s="1" t="s">
        <v>28</v>
      </c>
      <c r="K85" s="4">
        <v>0.03</v>
      </c>
      <c r="L85" s="4">
        <v>37.742899999999999</v>
      </c>
      <c r="M85" s="6">
        <v>18</v>
      </c>
      <c r="N85" s="6">
        <f t="shared" si="4"/>
        <v>0.20381165999999995</v>
      </c>
      <c r="O85" s="1">
        <v>4</v>
      </c>
      <c r="P85" s="1">
        <f t="shared" si="6"/>
        <v>4.5291479999999995E-2</v>
      </c>
      <c r="Q85" s="6">
        <f t="shared" si="5"/>
        <v>1.1322869999999998</v>
      </c>
      <c r="X85" s="6">
        <f t="shared" si="7"/>
        <v>1.3813901399999997</v>
      </c>
      <c r="AB85" s="4" t="s">
        <v>234</v>
      </c>
      <c r="AC85" s="4" t="s">
        <v>232</v>
      </c>
    </row>
    <row r="86" spans="1:29" ht="33.75" customHeight="1" x14ac:dyDescent="0.35">
      <c r="A86" s="4" t="s">
        <v>31</v>
      </c>
      <c r="B86" s="4">
        <v>26055443</v>
      </c>
      <c r="C86" s="4" t="s">
        <v>27</v>
      </c>
      <c r="D86" s="4" t="s">
        <v>63</v>
      </c>
      <c r="F86" s="7">
        <v>9999999</v>
      </c>
      <c r="G86" s="13">
        <v>2005.2</v>
      </c>
      <c r="H86" s="4" t="s">
        <v>182</v>
      </c>
      <c r="J86" s="1" t="s">
        <v>28</v>
      </c>
      <c r="K86" s="4">
        <v>0.03</v>
      </c>
      <c r="L86" s="4">
        <v>37.742899999999999</v>
      </c>
      <c r="M86" s="6">
        <v>18</v>
      </c>
      <c r="N86" s="6">
        <f t="shared" si="4"/>
        <v>0.20381165999999995</v>
      </c>
      <c r="O86" s="1">
        <v>4</v>
      </c>
      <c r="P86" s="1">
        <f t="shared" si="6"/>
        <v>4.5291479999999995E-2</v>
      </c>
      <c r="Q86" s="6">
        <f t="shared" si="5"/>
        <v>1.1322869999999998</v>
      </c>
      <c r="X86" s="6">
        <f t="shared" si="7"/>
        <v>1.3813901399999997</v>
      </c>
      <c r="AB86" s="4" t="s">
        <v>234</v>
      </c>
      <c r="AC86" s="4" t="s">
        <v>232</v>
      </c>
    </row>
    <row r="87" spans="1:29" ht="33.75" customHeight="1" x14ac:dyDescent="0.35">
      <c r="A87" s="4" t="s">
        <v>31</v>
      </c>
      <c r="B87" s="4">
        <v>26055444</v>
      </c>
      <c r="C87" s="4" t="s">
        <v>27</v>
      </c>
      <c r="D87" s="4" t="s">
        <v>64</v>
      </c>
      <c r="F87" s="7">
        <v>9999999</v>
      </c>
      <c r="G87" s="13">
        <v>2005.2</v>
      </c>
      <c r="H87" s="4" t="s">
        <v>182</v>
      </c>
      <c r="J87" s="1" t="s">
        <v>28</v>
      </c>
      <c r="K87" s="4">
        <v>0.03</v>
      </c>
      <c r="L87" s="4">
        <v>37.742899999999999</v>
      </c>
      <c r="M87" s="6">
        <v>18</v>
      </c>
      <c r="N87" s="6">
        <f t="shared" si="4"/>
        <v>0.20381165999999995</v>
      </c>
      <c r="O87" s="1">
        <v>4</v>
      </c>
      <c r="P87" s="1">
        <f t="shared" si="6"/>
        <v>4.5291479999999995E-2</v>
      </c>
      <c r="Q87" s="6">
        <f t="shared" si="5"/>
        <v>1.1322869999999998</v>
      </c>
      <c r="X87" s="6">
        <f t="shared" si="7"/>
        <v>1.3813901399999997</v>
      </c>
      <c r="AB87" s="4" t="s">
        <v>234</v>
      </c>
      <c r="AC87" s="4" t="s">
        <v>232</v>
      </c>
    </row>
    <row r="88" spans="1:29" ht="33.75" customHeight="1" x14ac:dyDescent="0.35">
      <c r="A88" s="4" t="s">
        <v>31</v>
      </c>
      <c r="B88" s="4">
        <v>26055445</v>
      </c>
      <c r="C88" s="4" t="s">
        <v>27</v>
      </c>
      <c r="D88" s="4" t="s">
        <v>65</v>
      </c>
      <c r="F88" s="7">
        <v>9999999</v>
      </c>
      <c r="G88" s="13">
        <v>2005.2</v>
      </c>
      <c r="H88" s="4" t="s">
        <v>182</v>
      </c>
      <c r="J88" s="1" t="s">
        <v>28</v>
      </c>
      <c r="K88" s="4">
        <v>0.03</v>
      </c>
      <c r="L88" s="4">
        <v>37.742899999999999</v>
      </c>
      <c r="M88" s="6">
        <v>18</v>
      </c>
      <c r="N88" s="6">
        <f t="shared" si="4"/>
        <v>0.20381165999999995</v>
      </c>
      <c r="O88" s="1">
        <v>4</v>
      </c>
      <c r="P88" s="1">
        <f t="shared" si="6"/>
        <v>4.5291479999999995E-2</v>
      </c>
      <c r="Q88" s="6">
        <f t="shared" si="5"/>
        <v>1.1322869999999998</v>
      </c>
      <c r="X88" s="6">
        <f t="shared" si="7"/>
        <v>1.3813901399999997</v>
      </c>
      <c r="AB88" s="4" t="s">
        <v>234</v>
      </c>
      <c r="AC88" s="4" t="s">
        <v>232</v>
      </c>
    </row>
    <row r="89" spans="1:29" ht="33.75" customHeight="1" x14ac:dyDescent="0.35">
      <c r="A89" s="4" t="s">
        <v>31</v>
      </c>
      <c r="B89" s="4">
        <v>26055446</v>
      </c>
      <c r="C89" s="4" t="s">
        <v>27</v>
      </c>
      <c r="D89" s="4" t="s">
        <v>66</v>
      </c>
      <c r="F89" s="7">
        <v>9999999</v>
      </c>
      <c r="G89" s="13">
        <v>2005.2</v>
      </c>
      <c r="H89" s="4" t="s">
        <v>182</v>
      </c>
      <c r="J89" s="1" t="s">
        <v>28</v>
      </c>
      <c r="K89" s="4">
        <v>0.03</v>
      </c>
      <c r="L89" s="4">
        <v>37.742899999999999</v>
      </c>
      <c r="M89" s="6">
        <v>18</v>
      </c>
      <c r="N89" s="6">
        <f t="shared" si="4"/>
        <v>0.20381165999999995</v>
      </c>
      <c r="O89" s="1">
        <v>4</v>
      </c>
      <c r="P89" s="1">
        <f t="shared" si="6"/>
        <v>4.5291479999999995E-2</v>
      </c>
      <c r="Q89" s="6">
        <f t="shared" si="5"/>
        <v>1.1322869999999998</v>
      </c>
      <c r="X89" s="6">
        <f t="shared" si="7"/>
        <v>1.3813901399999997</v>
      </c>
      <c r="AB89" s="4" t="s">
        <v>234</v>
      </c>
      <c r="AC89" s="4" t="s">
        <v>232</v>
      </c>
    </row>
    <row r="90" spans="1:29" ht="33.75" customHeight="1" x14ac:dyDescent="0.35">
      <c r="A90" s="4" t="s">
        <v>31</v>
      </c>
      <c r="B90" s="4">
        <v>26055447</v>
      </c>
      <c r="C90" s="4" t="s">
        <v>27</v>
      </c>
      <c r="D90" s="4" t="s">
        <v>67</v>
      </c>
      <c r="F90" s="7">
        <v>9999999</v>
      </c>
      <c r="G90" s="13">
        <v>2005.2</v>
      </c>
      <c r="H90" s="4" t="s">
        <v>182</v>
      </c>
      <c r="J90" s="1" t="s">
        <v>28</v>
      </c>
      <c r="K90" s="4">
        <v>3.6</v>
      </c>
      <c r="L90" s="4">
        <v>4347.9821000000002</v>
      </c>
      <c r="M90" s="6">
        <v>18</v>
      </c>
      <c r="N90" s="6">
        <f t="shared" si="4"/>
        <v>2817.4924008000003</v>
      </c>
      <c r="O90" s="1">
        <v>4</v>
      </c>
      <c r="P90" s="1">
        <f t="shared" si="6"/>
        <v>626.10942240000008</v>
      </c>
      <c r="Q90" s="6">
        <f t="shared" si="5"/>
        <v>15652.735560000001</v>
      </c>
      <c r="X90" s="6">
        <f t="shared" si="7"/>
        <v>19096.337383200003</v>
      </c>
      <c r="AB90" s="4" t="s">
        <v>234</v>
      </c>
      <c r="AC90" s="4" t="s">
        <v>232</v>
      </c>
    </row>
    <row r="91" spans="1:29" ht="33.75" customHeight="1" x14ac:dyDescent="0.35">
      <c r="A91" s="4" t="s">
        <v>31</v>
      </c>
      <c r="B91" s="4">
        <v>26055447</v>
      </c>
      <c r="C91" s="4" t="s">
        <v>27</v>
      </c>
      <c r="D91" s="4" t="s">
        <v>67</v>
      </c>
      <c r="F91" s="7">
        <v>9999999</v>
      </c>
      <c r="G91" s="13">
        <v>2005.2</v>
      </c>
      <c r="H91" s="4" t="s">
        <v>189</v>
      </c>
      <c r="J91" s="1" t="s">
        <v>28</v>
      </c>
      <c r="K91" s="4">
        <v>3.44</v>
      </c>
      <c r="L91" s="4">
        <v>4057.9123</v>
      </c>
      <c r="M91" s="6">
        <v>18</v>
      </c>
      <c r="N91" s="6">
        <f t="shared" si="4"/>
        <v>2512.6592961599999</v>
      </c>
      <c r="O91" s="1">
        <v>4</v>
      </c>
      <c r="P91" s="1">
        <f t="shared" si="6"/>
        <v>558.36873247999995</v>
      </c>
      <c r="Q91" s="6">
        <f t="shared" si="5"/>
        <v>13959.218311999999</v>
      </c>
      <c r="X91" s="6">
        <f t="shared" si="7"/>
        <v>17030.246340640002</v>
      </c>
      <c r="AB91" s="4" t="s">
        <v>234</v>
      </c>
      <c r="AC91" s="4" t="s">
        <v>232</v>
      </c>
    </row>
    <row r="92" spans="1:29" ht="33.75" customHeight="1" x14ac:dyDescent="0.35">
      <c r="A92" s="4" t="s">
        <v>31</v>
      </c>
      <c r="B92" s="4">
        <v>26055447</v>
      </c>
      <c r="C92" s="4" t="s">
        <v>27</v>
      </c>
      <c r="D92" s="4" t="s">
        <v>67</v>
      </c>
      <c r="F92" s="7">
        <v>9999999</v>
      </c>
      <c r="G92" s="6" t="s">
        <v>233</v>
      </c>
      <c r="H92" s="4" t="s">
        <v>202</v>
      </c>
      <c r="J92" s="1" t="s">
        <v>28</v>
      </c>
      <c r="K92" s="4">
        <v>4.2</v>
      </c>
      <c r="L92" s="4">
        <v>4420.5983999999999</v>
      </c>
      <c r="M92" s="6">
        <v>18</v>
      </c>
      <c r="N92" s="6">
        <f t="shared" si="4"/>
        <v>3341.9723903999998</v>
      </c>
      <c r="O92" s="1">
        <v>4</v>
      </c>
      <c r="P92" s="1">
        <f t="shared" si="6"/>
        <v>742.66053119999992</v>
      </c>
      <c r="Q92" s="6">
        <f t="shared" si="5"/>
        <v>18566.513279999999</v>
      </c>
      <c r="X92" s="6">
        <f t="shared" si="7"/>
        <v>22651.146201599997</v>
      </c>
      <c r="AB92" s="4" t="s">
        <v>234</v>
      </c>
      <c r="AC92" s="4" t="s">
        <v>232</v>
      </c>
    </row>
    <row r="93" spans="1:29" ht="33.75" customHeight="1" x14ac:dyDescent="0.35">
      <c r="A93" s="4" t="s">
        <v>31</v>
      </c>
      <c r="B93" s="4">
        <v>26055448</v>
      </c>
      <c r="C93" s="4" t="s">
        <v>27</v>
      </c>
      <c r="D93" s="4" t="s">
        <v>68</v>
      </c>
      <c r="F93" s="7">
        <v>9999999</v>
      </c>
      <c r="G93" s="13">
        <v>2005.2</v>
      </c>
      <c r="H93" s="4" t="s">
        <v>182</v>
      </c>
      <c r="J93" s="1" t="s">
        <v>28</v>
      </c>
      <c r="K93" s="4">
        <v>0.03</v>
      </c>
      <c r="L93" s="4">
        <v>37.742899999999999</v>
      </c>
      <c r="M93" s="6">
        <v>18</v>
      </c>
      <c r="N93" s="6">
        <f t="shared" si="4"/>
        <v>0.20381165999999995</v>
      </c>
      <c r="O93" s="1">
        <v>4</v>
      </c>
      <c r="P93" s="1">
        <f t="shared" si="6"/>
        <v>4.5291479999999995E-2</v>
      </c>
      <c r="Q93" s="6">
        <f t="shared" si="5"/>
        <v>1.1322869999999998</v>
      </c>
      <c r="X93" s="6">
        <f t="shared" si="7"/>
        <v>1.3813901399999997</v>
      </c>
      <c r="AB93" s="4" t="s">
        <v>234</v>
      </c>
      <c r="AC93" s="4" t="s">
        <v>232</v>
      </c>
    </row>
    <row r="94" spans="1:29" ht="33.75" customHeight="1" x14ac:dyDescent="0.35">
      <c r="A94" s="4" t="s">
        <v>31</v>
      </c>
      <c r="B94" s="4">
        <v>26055449</v>
      </c>
      <c r="C94" s="4" t="s">
        <v>27</v>
      </c>
      <c r="D94" s="4" t="s">
        <v>69</v>
      </c>
      <c r="F94" s="7">
        <v>9999999</v>
      </c>
      <c r="G94" s="13">
        <v>2005.2</v>
      </c>
      <c r="H94" s="4" t="s">
        <v>181</v>
      </c>
      <c r="J94" s="1" t="s">
        <v>28</v>
      </c>
      <c r="K94" s="4">
        <v>0.72</v>
      </c>
      <c r="L94" s="4">
        <v>869.59640000000002</v>
      </c>
      <c r="M94" s="6">
        <v>18</v>
      </c>
      <c r="N94" s="6">
        <f t="shared" si="4"/>
        <v>112.69969344</v>
      </c>
      <c r="O94" s="1">
        <v>4</v>
      </c>
      <c r="P94" s="1">
        <f t="shared" si="6"/>
        <v>25.044376320000001</v>
      </c>
      <c r="Q94" s="6">
        <f t="shared" si="5"/>
        <v>626.10940800000003</v>
      </c>
      <c r="X94" s="6">
        <f t="shared" si="7"/>
        <v>763.85347776000003</v>
      </c>
      <c r="AB94" s="4" t="s">
        <v>234</v>
      </c>
      <c r="AC94" s="4" t="s">
        <v>232</v>
      </c>
    </row>
    <row r="95" spans="1:29" ht="33.75" customHeight="1" x14ac:dyDescent="0.35">
      <c r="A95" s="4" t="s">
        <v>31</v>
      </c>
      <c r="B95" s="4">
        <v>26055449</v>
      </c>
      <c r="C95" s="4" t="s">
        <v>27</v>
      </c>
      <c r="D95" s="4" t="s">
        <v>69</v>
      </c>
      <c r="F95" s="7">
        <v>9999999</v>
      </c>
      <c r="G95" s="13">
        <v>2005.2</v>
      </c>
      <c r="H95" s="4" t="s">
        <v>182</v>
      </c>
      <c r="J95" s="1" t="s">
        <v>28</v>
      </c>
      <c r="K95" s="4">
        <v>0.72</v>
      </c>
      <c r="L95" s="4">
        <v>869.59640000000002</v>
      </c>
      <c r="M95" s="6">
        <v>18</v>
      </c>
      <c r="N95" s="6">
        <f t="shared" si="4"/>
        <v>112.69969344</v>
      </c>
      <c r="O95" s="1">
        <v>4</v>
      </c>
      <c r="P95" s="1">
        <f t="shared" si="6"/>
        <v>25.044376320000001</v>
      </c>
      <c r="Q95" s="6">
        <f t="shared" si="5"/>
        <v>626.10940800000003</v>
      </c>
      <c r="X95" s="6">
        <f t="shared" si="7"/>
        <v>763.85347776000003</v>
      </c>
      <c r="AB95" s="4" t="s">
        <v>234</v>
      </c>
      <c r="AC95" s="4" t="s">
        <v>232</v>
      </c>
    </row>
    <row r="96" spans="1:29" ht="33.75" customHeight="1" x14ac:dyDescent="0.35">
      <c r="A96" s="4" t="s">
        <v>31</v>
      </c>
      <c r="B96" s="4">
        <v>26055449</v>
      </c>
      <c r="C96" s="4" t="s">
        <v>27</v>
      </c>
      <c r="D96" s="4" t="s">
        <v>69</v>
      </c>
      <c r="F96" s="7">
        <v>9999999</v>
      </c>
      <c r="G96" s="13">
        <v>2005.2</v>
      </c>
      <c r="H96" s="4" t="s">
        <v>163</v>
      </c>
      <c r="J96" s="1" t="s">
        <v>28</v>
      </c>
      <c r="K96" s="4">
        <v>0.72</v>
      </c>
      <c r="L96" s="4">
        <v>806.43380000000002</v>
      </c>
      <c r="M96" s="6">
        <v>18</v>
      </c>
      <c r="N96" s="6">
        <f t="shared" si="4"/>
        <v>104.51382047999999</v>
      </c>
      <c r="O96" s="1">
        <v>4</v>
      </c>
      <c r="P96" s="1">
        <f t="shared" si="6"/>
        <v>23.225293440000002</v>
      </c>
      <c r="Q96" s="6">
        <f t="shared" si="5"/>
        <v>580.63233600000001</v>
      </c>
      <c r="X96" s="6">
        <f t="shared" si="7"/>
        <v>708.37144991999992</v>
      </c>
      <c r="AB96" s="4" t="s">
        <v>234</v>
      </c>
      <c r="AC96" s="4" t="s">
        <v>232</v>
      </c>
    </row>
    <row r="97" spans="1:29" ht="33.75" customHeight="1" x14ac:dyDescent="0.35">
      <c r="A97" s="4" t="s">
        <v>31</v>
      </c>
      <c r="B97" s="4">
        <v>26055449</v>
      </c>
      <c r="C97" s="4" t="s">
        <v>27</v>
      </c>
      <c r="D97" s="4" t="s">
        <v>69</v>
      </c>
      <c r="F97" s="7">
        <v>9999999</v>
      </c>
      <c r="G97" s="6" t="s">
        <v>233</v>
      </c>
      <c r="H97" s="4" t="s">
        <v>208</v>
      </c>
      <c r="J97" s="1" t="s">
        <v>28</v>
      </c>
      <c r="K97" s="4">
        <v>0.70399999999999996</v>
      </c>
      <c r="L97" s="4">
        <v>941.85059999999999</v>
      </c>
      <c r="M97" s="6">
        <v>18</v>
      </c>
      <c r="N97" s="6">
        <f t="shared" si="4"/>
        <v>119.35130803199999</v>
      </c>
      <c r="O97" s="1">
        <v>4</v>
      </c>
      <c r="P97" s="1">
        <f t="shared" si="6"/>
        <v>26.522512895999999</v>
      </c>
      <c r="Q97" s="6">
        <f t="shared" si="5"/>
        <v>663.06282239999996</v>
      </c>
      <c r="X97" s="6">
        <f t="shared" si="7"/>
        <v>808.93664332799995</v>
      </c>
      <c r="AB97" s="4" t="s">
        <v>234</v>
      </c>
      <c r="AC97" s="4" t="s">
        <v>232</v>
      </c>
    </row>
    <row r="98" spans="1:29" ht="33.75" customHeight="1" x14ac:dyDescent="0.35">
      <c r="A98" s="4" t="s">
        <v>31</v>
      </c>
      <c r="B98" s="4">
        <v>26055449</v>
      </c>
      <c r="C98" s="4" t="s">
        <v>27</v>
      </c>
      <c r="D98" s="4" t="s">
        <v>69</v>
      </c>
      <c r="F98" s="7">
        <v>9999999</v>
      </c>
      <c r="G98" s="13">
        <v>2005.2</v>
      </c>
      <c r="H98" s="4" t="s">
        <v>188</v>
      </c>
      <c r="J98" s="1" t="s">
        <v>28</v>
      </c>
      <c r="K98" s="4">
        <v>0.69599999999999995</v>
      </c>
      <c r="L98" s="4">
        <v>869.59640000000002</v>
      </c>
      <c r="M98" s="6">
        <v>18</v>
      </c>
      <c r="N98" s="6">
        <f t="shared" si="4"/>
        <v>108.94303699199999</v>
      </c>
      <c r="O98" s="1">
        <v>4</v>
      </c>
      <c r="P98" s="1">
        <f t="shared" si="6"/>
        <v>24.209563776</v>
      </c>
      <c r="Q98" s="6">
        <f t="shared" si="5"/>
        <v>605.2390944</v>
      </c>
      <c r="X98" s="6">
        <f t="shared" si="7"/>
        <v>738.39169516799996</v>
      </c>
      <c r="AB98" s="4" t="s">
        <v>234</v>
      </c>
      <c r="AC98" s="4" t="s">
        <v>232</v>
      </c>
    </row>
    <row r="99" spans="1:29" ht="33.75" customHeight="1" x14ac:dyDescent="0.35">
      <c r="A99" s="4" t="s">
        <v>31</v>
      </c>
      <c r="B99" s="4">
        <v>26055450</v>
      </c>
      <c r="C99" s="4" t="s">
        <v>27</v>
      </c>
      <c r="D99" s="4" t="s">
        <v>70</v>
      </c>
      <c r="F99" s="7">
        <v>9999999</v>
      </c>
      <c r="G99" s="13">
        <v>2005.2</v>
      </c>
      <c r="H99" s="4" t="s">
        <v>182</v>
      </c>
      <c r="J99" s="1" t="s">
        <v>28</v>
      </c>
      <c r="K99" s="4">
        <v>0.03</v>
      </c>
      <c r="L99" s="4">
        <v>37.742899999999999</v>
      </c>
      <c r="M99" s="6">
        <v>18</v>
      </c>
      <c r="N99" s="6">
        <f t="shared" si="4"/>
        <v>0.20381165999999995</v>
      </c>
      <c r="O99" s="1">
        <v>4</v>
      </c>
      <c r="P99" s="1">
        <f t="shared" si="6"/>
        <v>4.5291479999999995E-2</v>
      </c>
      <c r="Q99" s="6">
        <f t="shared" si="5"/>
        <v>1.1322869999999998</v>
      </c>
      <c r="X99" s="6">
        <f t="shared" si="7"/>
        <v>1.3813901399999997</v>
      </c>
      <c r="AB99" s="4" t="s">
        <v>234</v>
      </c>
      <c r="AC99" s="4" t="s">
        <v>232</v>
      </c>
    </row>
    <row r="100" spans="1:29" ht="33.75" customHeight="1" x14ac:dyDescent="0.35">
      <c r="A100" s="4" t="s">
        <v>31</v>
      </c>
      <c r="B100" s="4">
        <v>26055451</v>
      </c>
      <c r="C100" s="4" t="s">
        <v>27</v>
      </c>
      <c r="D100" s="4" t="s">
        <v>71</v>
      </c>
      <c r="F100" s="7">
        <v>9999999</v>
      </c>
      <c r="G100" s="6" t="s">
        <v>233</v>
      </c>
      <c r="H100" s="4" t="s">
        <v>209</v>
      </c>
      <c r="J100" s="1" t="s">
        <v>28</v>
      </c>
      <c r="K100" s="4">
        <v>1.1200000000000001</v>
      </c>
      <c r="L100" s="4">
        <v>898.12689999999998</v>
      </c>
      <c r="M100" s="6">
        <v>18</v>
      </c>
      <c r="N100" s="6">
        <f t="shared" si="4"/>
        <v>181.06238304000001</v>
      </c>
      <c r="O100" s="1">
        <v>4</v>
      </c>
      <c r="P100" s="1">
        <f t="shared" si="6"/>
        <v>40.236085120000006</v>
      </c>
      <c r="Q100" s="6">
        <f t="shared" si="5"/>
        <v>1005.9021280000001</v>
      </c>
      <c r="X100" s="6">
        <f t="shared" si="7"/>
        <v>1227.2005961600003</v>
      </c>
      <c r="AB100" s="4" t="s">
        <v>234</v>
      </c>
      <c r="AC100" s="4" t="s">
        <v>232</v>
      </c>
    </row>
    <row r="101" spans="1:29" ht="33.75" customHeight="1" x14ac:dyDescent="0.35">
      <c r="A101" s="4" t="s">
        <v>31</v>
      </c>
      <c r="B101" s="4">
        <v>26055451</v>
      </c>
      <c r="C101" s="4" t="s">
        <v>27</v>
      </c>
      <c r="D101" s="4" t="s">
        <v>71</v>
      </c>
      <c r="F101" s="7">
        <v>9999999</v>
      </c>
      <c r="G101" s="13">
        <v>2005.2</v>
      </c>
      <c r="H101" s="4" t="s">
        <v>188</v>
      </c>
      <c r="J101" s="1" t="s">
        <v>28</v>
      </c>
      <c r="K101" s="4">
        <v>0.69599999999999995</v>
      </c>
      <c r="L101" s="4">
        <v>887.71299999999997</v>
      </c>
      <c r="M101" s="6">
        <v>18</v>
      </c>
      <c r="N101" s="6">
        <f t="shared" si="4"/>
        <v>111.21268463999998</v>
      </c>
      <c r="O101" s="1">
        <v>4</v>
      </c>
      <c r="P101" s="1">
        <f t="shared" si="6"/>
        <v>24.713929919999995</v>
      </c>
      <c r="Q101" s="6">
        <f t="shared" si="5"/>
        <v>617.8482479999999</v>
      </c>
      <c r="X101" s="6">
        <f t="shared" si="7"/>
        <v>753.77486255999986</v>
      </c>
      <c r="AB101" s="4" t="s">
        <v>234</v>
      </c>
      <c r="AC101" s="4" t="s">
        <v>232</v>
      </c>
    </row>
    <row r="102" spans="1:29" ht="33.75" customHeight="1" x14ac:dyDescent="0.35">
      <c r="A102" s="4" t="s">
        <v>31</v>
      </c>
      <c r="B102" s="4">
        <v>26055451</v>
      </c>
      <c r="C102" s="4" t="s">
        <v>27</v>
      </c>
      <c r="D102" s="4" t="s">
        <v>71</v>
      </c>
      <c r="F102" s="7">
        <v>9999999</v>
      </c>
      <c r="G102" s="13">
        <v>2005.2</v>
      </c>
      <c r="H102" s="4" t="s">
        <v>189</v>
      </c>
      <c r="J102" s="1" t="s">
        <v>28</v>
      </c>
      <c r="K102" s="4">
        <v>0.68799999999999994</v>
      </c>
      <c r="L102" s="4">
        <v>828.49040000000002</v>
      </c>
      <c r="M102" s="6">
        <v>18</v>
      </c>
      <c r="N102" s="6">
        <f t="shared" si="4"/>
        <v>102.60025113599998</v>
      </c>
      <c r="O102" s="1">
        <v>4</v>
      </c>
      <c r="P102" s="1">
        <f t="shared" si="6"/>
        <v>22.800055807999996</v>
      </c>
      <c r="Q102" s="6">
        <f t="shared" si="5"/>
        <v>570.00139519999993</v>
      </c>
      <c r="X102" s="6">
        <f t="shared" si="7"/>
        <v>695.40170214399996</v>
      </c>
      <c r="AB102" s="4" t="s">
        <v>234</v>
      </c>
      <c r="AC102" s="4" t="s">
        <v>232</v>
      </c>
    </row>
    <row r="103" spans="1:29" ht="33.75" customHeight="1" x14ac:dyDescent="0.35">
      <c r="A103" s="4" t="s">
        <v>31</v>
      </c>
      <c r="B103" s="4">
        <v>26055452</v>
      </c>
      <c r="C103" s="4" t="s">
        <v>27</v>
      </c>
      <c r="D103" s="4" t="s">
        <v>71</v>
      </c>
      <c r="F103" s="7">
        <v>9999999</v>
      </c>
      <c r="G103" s="13">
        <v>2005.2</v>
      </c>
      <c r="H103" s="4" t="s">
        <v>182</v>
      </c>
      <c r="J103" s="1" t="s">
        <v>28</v>
      </c>
      <c r="K103" s="4">
        <v>0.03</v>
      </c>
      <c r="L103" s="4">
        <v>36.988</v>
      </c>
      <c r="M103" s="6">
        <v>18</v>
      </c>
      <c r="N103" s="6">
        <f t="shared" si="4"/>
        <v>0.19973519999999997</v>
      </c>
      <c r="O103" s="1">
        <v>4</v>
      </c>
      <c r="P103" s="1">
        <f t="shared" si="6"/>
        <v>4.4385599999999997E-2</v>
      </c>
      <c r="Q103" s="6">
        <f t="shared" si="5"/>
        <v>1.10964</v>
      </c>
      <c r="X103" s="6">
        <f t="shared" si="7"/>
        <v>1.3537607999999999</v>
      </c>
      <c r="AB103" s="4" t="s">
        <v>234</v>
      </c>
      <c r="AC103" s="4" t="s">
        <v>232</v>
      </c>
    </row>
    <row r="104" spans="1:29" ht="33.75" customHeight="1" x14ac:dyDescent="0.35">
      <c r="A104" s="4" t="s">
        <v>31</v>
      </c>
      <c r="B104" s="4">
        <v>26055453</v>
      </c>
      <c r="C104" s="4" t="s">
        <v>27</v>
      </c>
      <c r="D104" s="4" t="s">
        <v>72</v>
      </c>
      <c r="F104" s="7">
        <v>9999999</v>
      </c>
      <c r="G104" s="13">
        <v>2005.2</v>
      </c>
      <c r="H104" s="4" t="s">
        <v>182</v>
      </c>
      <c r="J104" s="1" t="s">
        <v>28</v>
      </c>
      <c r="K104" s="4">
        <v>0.03</v>
      </c>
      <c r="L104" s="4">
        <v>37.742899999999999</v>
      </c>
      <c r="M104" s="6">
        <v>18</v>
      </c>
      <c r="N104" s="6">
        <f t="shared" si="4"/>
        <v>0.20381165999999995</v>
      </c>
      <c r="O104" s="1">
        <v>4</v>
      </c>
      <c r="P104" s="1">
        <f t="shared" si="6"/>
        <v>4.5291479999999995E-2</v>
      </c>
      <c r="Q104" s="6">
        <f t="shared" si="5"/>
        <v>1.1322869999999998</v>
      </c>
      <c r="X104" s="6">
        <f t="shared" si="7"/>
        <v>1.3813901399999997</v>
      </c>
      <c r="AB104" s="4" t="s">
        <v>234</v>
      </c>
      <c r="AC104" s="4" t="s">
        <v>232</v>
      </c>
    </row>
    <row r="105" spans="1:29" ht="33.75" customHeight="1" x14ac:dyDescent="0.35">
      <c r="A105" s="4" t="s">
        <v>31</v>
      </c>
      <c r="B105" s="4">
        <v>26055454</v>
      </c>
      <c r="C105" s="4" t="s">
        <v>27</v>
      </c>
      <c r="D105" s="4" t="s">
        <v>73</v>
      </c>
      <c r="F105" s="7">
        <v>9999999</v>
      </c>
      <c r="G105" s="13">
        <v>2005.2</v>
      </c>
      <c r="H105" s="4" t="s">
        <v>182</v>
      </c>
      <c r="J105" s="1" t="s">
        <v>28</v>
      </c>
      <c r="K105" s="4">
        <v>0.72</v>
      </c>
      <c r="L105" s="4">
        <v>887.71299999999997</v>
      </c>
      <c r="M105" s="6">
        <v>18</v>
      </c>
      <c r="N105" s="6">
        <f t="shared" si="4"/>
        <v>115.04760479999997</v>
      </c>
      <c r="O105" s="1">
        <v>4</v>
      </c>
      <c r="P105" s="1">
        <f t="shared" si="6"/>
        <v>25.566134399999996</v>
      </c>
      <c r="Q105" s="6">
        <f t="shared" si="5"/>
        <v>639.15335999999991</v>
      </c>
      <c r="X105" s="6">
        <f t="shared" si="7"/>
        <v>779.76709919999985</v>
      </c>
      <c r="AB105" s="4" t="s">
        <v>234</v>
      </c>
      <c r="AC105" s="4" t="s">
        <v>232</v>
      </c>
    </row>
    <row r="106" spans="1:29" ht="33.75" customHeight="1" x14ac:dyDescent="0.35">
      <c r="A106" s="4" t="s">
        <v>31</v>
      </c>
      <c r="B106" s="4">
        <v>26055454</v>
      </c>
      <c r="C106" s="4" t="s">
        <v>27</v>
      </c>
      <c r="D106" s="4" t="s">
        <v>73</v>
      </c>
      <c r="F106" s="7">
        <v>9999999</v>
      </c>
      <c r="G106" s="13">
        <v>2005.2</v>
      </c>
      <c r="H106" s="4" t="s">
        <v>163</v>
      </c>
      <c r="J106" s="1" t="s">
        <v>28</v>
      </c>
      <c r="K106" s="4">
        <v>0.72</v>
      </c>
      <c r="L106" s="4">
        <v>823.23450000000003</v>
      </c>
      <c r="M106" s="6">
        <v>18</v>
      </c>
      <c r="N106" s="6">
        <f t="shared" si="4"/>
        <v>106.69119119999999</v>
      </c>
      <c r="O106" s="1">
        <v>4</v>
      </c>
      <c r="P106" s="1">
        <f t="shared" si="6"/>
        <v>23.7091536</v>
      </c>
      <c r="Q106" s="6">
        <f t="shared" si="5"/>
        <v>592.72883999999999</v>
      </c>
      <c r="X106" s="6">
        <f t="shared" si="7"/>
        <v>723.12918480000008</v>
      </c>
      <c r="AB106" s="4" t="s">
        <v>234</v>
      </c>
      <c r="AC106" s="4" t="s">
        <v>232</v>
      </c>
    </row>
    <row r="107" spans="1:29" ht="33.75" customHeight="1" x14ac:dyDescent="0.35">
      <c r="A107" s="4" t="s">
        <v>31</v>
      </c>
      <c r="B107" s="4">
        <v>26055454</v>
      </c>
      <c r="C107" s="4" t="s">
        <v>27</v>
      </c>
      <c r="D107" s="4" t="s">
        <v>73</v>
      </c>
      <c r="F107" s="7">
        <v>9999999</v>
      </c>
      <c r="G107" s="6" t="s">
        <v>233</v>
      </c>
      <c r="H107" s="4" t="s">
        <v>200</v>
      </c>
      <c r="J107" s="1" t="s">
        <v>28</v>
      </c>
      <c r="K107" s="4">
        <v>1.1200000000000001</v>
      </c>
      <c r="L107" s="4">
        <v>898.12689999999998</v>
      </c>
      <c r="M107" s="6">
        <v>18</v>
      </c>
      <c r="N107" s="6">
        <f t="shared" si="4"/>
        <v>181.06238304000001</v>
      </c>
      <c r="O107" s="1">
        <v>4</v>
      </c>
      <c r="P107" s="1">
        <f t="shared" si="6"/>
        <v>40.236085120000006</v>
      </c>
      <c r="Q107" s="6">
        <f t="shared" si="5"/>
        <v>1005.9021280000001</v>
      </c>
      <c r="X107" s="6">
        <f t="shared" si="7"/>
        <v>1227.2005961600003</v>
      </c>
      <c r="AB107" s="4" t="s">
        <v>234</v>
      </c>
      <c r="AC107" s="4" t="s">
        <v>232</v>
      </c>
    </row>
    <row r="108" spans="1:29" ht="33.75" customHeight="1" x14ac:dyDescent="0.35">
      <c r="A108" s="4" t="s">
        <v>31</v>
      </c>
      <c r="B108" s="4">
        <v>26055454</v>
      </c>
      <c r="C108" s="4" t="s">
        <v>27</v>
      </c>
      <c r="D108" s="4" t="s">
        <v>73</v>
      </c>
      <c r="F108" s="7">
        <v>9999999</v>
      </c>
      <c r="G108" s="6" t="s">
        <v>233</v>
      </c>
      <c r="H108" s="4" t="s">
        <v>186</v>
      </c>
      <c r="J108" s="1" t="s">
        <v>28</v>
      </c>
      <c r="K108" s="4">
        <v>1.0880000000000001</v>
      </c>
      <c r="L108" s="4">
        <v>958.19230000000005</v>
      </c>
      <c r="M108" s="6">
        <v>18</v>
      </c>
      <c r="N108" s="6">
        <f t="shared" si="4"/>
        <v>187.65238003200002</v>
      </c>
      <c r="O108" s="1">
        <v>4</v>
      </c>
      <c r="P108" s="1">
        <f t="shared" si="6"/>
        <v>41.700528896000009</v>
      </c>
      <c r="Q108" s="6">
        <f t="shared" si="5"/>
        <v>1042.5132224000001</v>
      </c>
      <c r="X108" s="6">
        <f t="shared" si="7"/>
        <v>1271.8661313280002</v>
      </c>
      <c r="AB108" s="4" t="s">
        <v>234</v>
      </c>
      <c r="AC108" s="4" t="s">
        <v>232</v>
      </c>
    </row>
    <row r="109" spans="1:29" ht="33.75" customHeight="1" x14ac:dyDescent="0.35">
      <c r="A109" s="4" t="s">
        <v>31</v>
      </c>
      <c r="B109" s="4">
        <v>26055455</v>
      </c>
      <c r="C109" s="4" t="s">
        <v>27</v>
      </c>
      <c r="D109" s="4" t="s">
        <v>74</v>
      </c>
      <c r="F109" s="8" t="s">
        <v>160</v>
      </c>
      <c r="G109" s="13">
        <v>2005.2</v>
      </c>
      <c r="H109" s="4" t="s">
        <v>210</v>
      </c>
      <c r="J109" s="1" t="s">
        <v>28</v>
      </c>
      <c r="K109" s="4">
        <v>0.86399999999999999</v>
      </c>
      <c r="L109" s="4">
        <v>867.64840000000004</v>
      </c>
      <c r="M109" s="6">
        <v>18</v>
      </c>
      <c r="N109" s="6">
        <f t="shared" si="4"/>
        <v>134.93667916800001</v>
      </c>
      <c r="O109" s="1">
        <v>4</v>
      </c>
      <c r="P109" s="1">
        <f t="shared" si="6"/>
        <v>29.985928704000003</v>
      </c>
      <c r="Q109" s="6">
        <f t="shared" si="5"/>
        <v>749.64821760000007</v>
      </c>
      <c r="X109" s="6">
        <f t="shared" si="7"/>
        <v>914.57082547200014</v>
      </c>
      <c r="AB109" s="4" t="s">
        <v>234</v>
      </c>
      <c r="AC109" s="4" t="s">
        <v>232</v>
      </c>
    </row>
    <row r="110" spans="1:29" ht="33.75" customHeight="1" x14ac:dyDescent="0.35">
      <c r="A110" s="4" t="s">
        <v>31</v>
      </c>
      <c r="B110" s="4">
        <v>26055455</v>
      </c>
      <c r="C110" s="4" t="s">
        <v>27</v>
      </c>
      <c r="D110" s="4" t="s">
        <v>74</v>
      </c>
      <c r="F110" s="8" t="s">
        <v>160</v>
      </c>
      <c r="G110" s="13">
        <v>2005.2</v>
      </c>
      <c r="H110" s="4" t="s">
        <v>211</v>
      </c>
      <c r="J110" s="1" t="s">
        <v>28</v>
      </c>
      <c r="K110" s="4">
        <v>1.76</v>
      </c>
      <c r="L110" s="4">
        <v>2351.0016000000001</v>
      </c>
      <c r="M110" s="6">
        <v>18</v>
      </c>
      <c r="N110" s="6">
        <f t="shared" si="4"/>
        <v>744.79730688000006</v>
      </c>
      <c r="O110" s="1">
        <v>4</v>
      </c>
      <c r="P110" s="1">
        <f t="shared" si="6"/>
        <v>165.51051264</v>
      </c>
      <c r="Q110" s="6">
        <f t="shared" si="5"/>
        <v>4137.7628160000004</v>
      </c>
      <c r="X110" s="6">
        <f t="shared" si="7"/>
        <v>5048.0706355200009</v>
      </c>
      <c r="AB110" s="4" t="s">
        <v>234</v>
      </c>
      <c r="AC110" s="4" t="s">
        <v>232</v>
      </c>
    </row>
    <row r="111" spans="1:29" ht="33.75" customHeight="1" x14ac:dyDescent="0.35">
      <c r="A111" s="4" t="s">
        <v>31</v>
      </c>
      <c r="B111" s="4">
        <v>26055455</v>
      </c>
      <c r="C111" s="4" t="s">
        <v>27</v>
      </c>
      <c r="D111" s="4" t="s">
        <v>74</v>
      </c>
      <c r="F111" s="8" t="s">
        <v>160</v>
      </c>
      <c r="G111" s="13">
        <v>2005.2</v>
      </c>
      <c r="H111" s="4" t="s">
        <v>212</v>
      </c>
      <c r="J111" s="1" t="s">
        <v>28</v>
      </c>
      <c r="K111" s="4">
        <v>0.88</v>
      </c>
      <c r="L111" s="4">
        <v>1175.5008</v>
      </c>
      <c r="M111" s="6">
        <v>18</v>
      </c>
      <c r="N111" s="6">
        <f t="shared" si="4"/>
        <v>186.19932672000002</v>
      </c>
      <c r="O111" s="1">
        <v>4</v>
      </c>
      <c r="P111" s="1">
        <f t="shared" si="6"/>
        <v>41.37762816</v>
      </c>
      <c r="Q111" s="6">
        <f t="shared" si="5"/>
        <v>1034.4407040000001</v>
      </c>
      <c r="X111" s="6">
        <f t="shared" si="7"/>
        <v>1262.0176588800002</v>
      </c>
      <c r="AB111" s="4" t="s">
        <v>234</v>
      </c>
      <c r="AC111" s="4" t="s">
        <v>232</v>
      </c>
    </row>
    <row r="112" spans="1:29" ht="33.75" customHeight="1" x14ac:dyDescent="0.35">
      <c r="A112" s="4" t="s">
        <v>31</v>
      </c>
      <c r="B112" s="4">
        <v>26055455</v>
      </c>
      <c r="C112" s="4" t="s">
        <v>27</v>
      </c>
      <c r="D112" s="4" t="s">
        <v>74</v>
      </c>
      <c r="F112" s="8" t="s">
        <v>160</v>
      </c>
      <c r="G112" s="13">
        <v>2005.2</v>
      </c>
      <c r="H112" s="4" t="s">
        <v>168</v>
      </c>
      <c r="J112" s="1" t="s">
        <v>28</v>
      </c>
      <c r="K112" s="4">
        <v>1.536</v>
      </c>
      <c r="L112" s="4">
        <v>2100.308</v>
      </c>
      <c r="M112" s="6">
        <v>18</v>
      </c>
      <c r="N112" s="6">
        <f t="shared" si="4"/>
        <v>580.69315584000003</v>
      </c>
      <c r="O112" s="1">
        <v>4</v>
      </c>
      <c r="P112" s="1">
        <f t="shared" si="6"/>
        <v>129.04292352000002</v>
      </c>
      <c r="Q112" s="6">
        <f t="shared" si="5"/>
        <v>3226.0730880000001</v>
      </c>
      <c r="X112" s="6">
        <f t="shared" si="7"/>
        <v>3935.8091673600002</v>
      </c>
      <c r="AB112" s="4" t="s">
        <v>234</v>
      </c>
      <c r="AC112" s="4" t="s">
        <v>232</v>
      </c>
    </row>
    <row r="113" spans="1:29" ht="33.75" customHeight="1" x14ac:dyDescent="0.35">
      <c r="A113" s="4" t="s">
        <v>31</v>
      </c>
      <c r="B113" s="4">
        <v>26055455</v>
      </c>
      <c r="C113" s="4" t="s">
        <v>27</v>
      </c>
      <c r="D113" s="4" t="s">
        <v>74</v>
      </c>
      <c r="F113" s="8" t="s">
        <v>160</v>
      </c>
      <c r="G113" s="13">
        <v>2005.2</v>
      </c>
      <c r="H113" s="4" t="s">
        <v>169</v>
      </c>
      <c r="J113" s="1" t="s">
        <v>28</v>
      </c>
      <c r="K113" s="4">
        <v>2.16</v>
      </c>
      <c r="L113" s="4">
        <v>2608.7892000000002</v>
      </c>
      <c r="M113" s="6">
        <v>18</v>
      </c>
      <c r="N113" s="6">
        <f t="shared" si="4"/>
        <v>1014.2972409600001</v>
      </c>
      <c r="O113" s="1">
        <v>4</v>
      </c>
      <c r="P113" s="1">
        <f t="shared" si="6"/>
        <v>225.39938688000001</v>
      </c>
      <c r="Q113" s="6">
        <f t="shared" si="5"/>
        <v>5634.9846720000005</v>
      </c>
      <c r="X113" s="6">
        <f t="shared" si="7"/>
        <v>6874.6812998400001</v>
      </c>
      <c r="AB113" s="4" t="s">
        <v>234</v>
      </c>
      <c r="AC113" s="4" t="s">
        <v>232</v>
      </c>
    </row>
    <row r="114" spans="1:29" ht="33.75" customHeight="1" x14ac:dyDescent="0.35">
      <c r="A114" s="4" t="s">
        <v>31</v>
      </c>
      <c r="B114" s="4">
        <v>26055455</v>
      </c>
      <c r="C114" s="4" t="s">
        <v>27</v>
      </c>
      <c r="D114" s="4" t="s">
        <v>74</v>
      </c>
      <c r="F114" s="8" t="s">
        <v>160</v>
      </c>
      <c r="G114" s="13">
        <v>2005.2</v>
      </c>
      <c r="H114" s="4" t="s">
        <v>170</v>
      </c>
      <c r="J114" s="1" t="s">
        <v>28</v>
      </c>
      <c r="K114" s="4">
        <v>2.16</v>
      </c>
      <c r="L114" s="4">
        <v>2608.7892000000002</v>
      </c>
      <c r="M114" s="6">
        <v>18</v>
      </c>
      <c r="N114" s="6">
        <f t="shared" si="4"/>
        <v>1014.2972409600001</v>
      </c>
      <c r="O114" s="1">
        <v>4</v>
      </c>
      <c r="P114" s="1">
        <f t="shared" si="6"/>
        <v>225.39938688000001</v>
      </c>
      <c r="Q114" s="6">
        <f t="shared" si="5"/>
        <v>5634.9846720000005</v>
      </c>
      <c r="X114" s="6">
        <f t="shared" si="7"/>
        <v>6874.6812998400001</v>
      </c>
      <c r="AB114" s="4" t="s">
        <v>234</v>
      </c>
      <c r="AC114" s="4" t="s">
        <v>232</v>
      </c>
    </row>
    <row r="115" spans="1:29" ht="33.75" customHeight="1" x14ac:dyDescent="0.35">
      <c r="A115" s="4" t="s">
        <v>31</v>
      </c>
      <c r="B115" s="4">
        <v>26055455</v>
      </c>
      <c r="C115" s="4" t="s">
        <v>27</v>
      </c>
      <c r="D115" s="4" t="s">
        <v>74</v>
      </c>
      <c r="F115" s="8" t="s">
        <v>160</v>
      </c>
      <c r="G115" s="13">
        <v>2005.2</v>
      </c>
      <c r="H115" s="4" t="s">
        <v>171</v>
      </c>
      <c r="J115" s="1" t="s">
        <v>28</v>
      </c>
      <c r="K115" s="4">
        <v>0.72</v>
      </c>
      <c r="L115" s="4">
        <v>811.58249999999998</v>
      </c>
      <c r="M115" s="6">
        <v>18</v>
      </c>
      <c r="N115" s="6">
        <f t="shared" si="4"/>
        <v>105.18109199999999</v>
      </c>
      <c r="O115" s="1">
        <v>4</v>
      </c>
      <c r="P115" s="1">
        <f t="shared" si="6"/>
        <v>23.373576</v>
      </c>
      <c r="Q115" s="6">
        <f t="shared" si="5"/>
        <v>584.33939999999996</v>
      </c>
      <c r="X115" s="6">
        <f t="shared" si="7"/>
        <v>712.89406799999995</v>
      </c>
      <c r="AB115" s="4" t="s">
        <v>234</v>
      </c>
      <c r="AC115" s="4" t="s">
        <v>232</v>
      </c>
    </row>
    <row r="116" spans="1:29" ht="33.75" customHeight="1" x14ac:dyDescent="0.35">
      <c r="A116" s="4" t="s">
        <v>31</v>
      </c>
      <c r="B116" s="4">
        <v>26055455</v>
      </c>
      <c r="C116" s="4" t="s">
        <v>27</v>
      </c>
      <c r="D116" s="4" t="s">
        <v>74</v>
      </c>
      <c r="F116" s="8" t="s">
        <v>160</v>
      </c>
      <c r="G116" s="13">
        <v>2005.2</v>
      </c>
      <c r="H116" s="4" t="s">
        <v>172</v>
      </c>
      <c r="J116" s="1" t="s">
        <v>28</v>
      </c>
      <c r="K116" s="4">
        <v>0.72</v>
      </c>
      <c r="L116" s="4">
        <v>811.58249999999998</v>
      </c>
      <c r="M116" s="6">
        <v>18</v>
      </c>
      <c r="N116" s="6">
        <f t="shared" si="4"/>
        <v>105.18109199999999</v>
      </c>
      <c r="O116" s="1">
        <v>4</v>
      </c>
      <c r="P116" s="1">
        <f t="shared" si="6"/>
        <v>23.373576</v>
      </c>
      <c r="Q116" s="6">
        <f t="shared" si="5"/>
        <v>584.33939999999996</v>
      </c>
      <c r="X116" s="6">
        <f t="shared" si="7"/>
        <v>712.89406799999995</v>
      </c>
      <c r="AB116" s="4" t="s">
        <v>234</v>
      </c>
      <c r="AC116" s="4" t="s">
        <v>232</v>
      </c>
    </row>
    <row r="117" spans="1:29" ht="33.75" customHeight="1" x14ac:dyDescent="0.35">
      <c r="A117" s="4" t="s">
        <v>31</v>
      </c>
      <c r="B117" s="4">
        <v>26055455</v>
      </c>
      <c r="C117" s="4" t="s">
        <v>27</v>
      </c>
      <c r="D117" s="4" t="s">
        <v>74</v>
      </c>
      <c r="F117" s="8" t="s">
        <v>160</v>
      </c>
      <c r="G117" s="13">
        <v>2005.2</v>
      </c>
      <c r="H117" s="4" t="s">
        <v>165</v>
      </c>
      <c r="J117" s="1" t="s">
        <v>28</v>
      </c>
      <c r="K117" s="4">
        <v>1.44</v>
      </c>
      <c r="L117" s="4">
        <v>1612.8676</v>
      </c>
      <c r="M117" s="6">
        <v>18</v>
      </c>
      <c r="N117" s="6">
        <f t="shared" si="4"/>
        <v>418.05528191999997</v>
      </c>
      <c r="O117" s="1">
        <v>4</v>
      </c>
      <c r="P117" s="1">
        <f t="shared" si="6"/>
        <v>92.901173760000006</v>
      </c>
      <c r="Q117" s="6">
        <f t="shared" si="5"/>
        <v>2322.529344</v>
      </c>
      <c r="X117" s="6">
        <f t="shared" si="7"/>
        <v>2833.4857996799997</v>
      </c>
      <c r="AB117" s="4" t="s">
        <v>234</v>
      </c>
      <c r="AC117" s="4" t="s">
        <v>232</v>
      </c>
    </row>
    <row r="118" spans="1:29" ht="33.75" customHeight="1" x14ac:dyDescent="0.35">
      <c r="A118" s="4" t="s">
        <v>31</v>
      </c>
      <c r="B118" s="4">
        <v>26055455</v>
      </c>
      <c r="C118" s="4" t="s">
        <v>27</v>
      </c>
      <c r="D118" s="4" t="s">
        <v>74</v>
      </c>
      <c r="F118" s="8" t="s">
        <v>160</v>
      </c>
      <c r="G118" s="6" t="s">
        <v>233</v>
      </c>
      <c r="H118" s="4" t="s">
        <v>175</v>
      </c>
      <c r="J118" s="1" t="s">
        <v>28</v>
      </c>
      <c r="K118" s="4">
        <v>1.1200000000000001</v>
      </c>
      <c r="L118" s="4">
        <v>879.79780000000005</v>
      </c>
      <c r="M118" s="6">
        <v>18</v>
      </c>
      <c r="N118" s="6">
        <f t="shared" si="4"/>
        <v>177.36723648000003</v>
      </c>
      <c r="O118" s="1">
        <v>4</v>
      </c>
      <c r="P118" s="1">
        <f t="shared" si="6"/>
        <v>39.414941440000007</v>
      </c>
      <c r="Q118" s="6">
        <f t="shared" si="5"/>
        <v>985.37353600000017</v>
      </c>
      <c r="X118" s="6">
        <f t="shared" si="7"/>
        <v>1202.1557139200004</v>
      </c>
      <c r="AB118" s="4" t="s">
        <v>234</v>
      </c>
      <c r="AC118" s="4" t="s">
        <v>232</v>
      </c>
    </row>
    <row r="119" spans="1:29" ht="33.75" customHeight="1" x14ac:dyDescent="0.35">
      <c r="A119" s="4" t="s">
        <v>31</v>
      </c>
      <c r="B119" s="4">
        <v>26055455</v>
      </c>
      <c r="C119" s="4" t="s">
        <v>27</v>
      </c>
      <c r="D119" s="4" t="s">
        <v>74</v>
      </c>
      <c r="F119" s="8" t="s">
        <v>160</v>
      </c>
      <c r="G119" s="6" t="s">
        <v>233</v>
      </c>
      <c r="H119" s="4" t="s">
        <v>192</v>
      </c>
      <c r="J119" s="1" t="s">
        <v>28</v>
      </c>
      <c r="K119" s="4">
        <v>1.1200000000000001</v>
      </c>
      <c r="L119" s="4">
        <v>879.79780000000005</v>
      </c>
      <c r="M119" s="6">
        <v>18</v>
      </c>
      <c r="N119" s="6">
        <f t="shared" si="4"/>
        <v>177.36723648000003</v>
      </c>
      <c r="O119" s="1">
        <v>4</v>
      </c>
      <c r="P119" s="1">
        <f t="shared" si="6"/>
        <v>39.414941440000007</v>
      </c>
      <c r="Q119" s="6">
        <f t="shared" si="5"/>
        <v>985.37353600000017</v>
      </c>
      <c r="X119" s="6">
        <f t="shared" si="7"/>
        <v>1202.1557139200004</v>
      </c>
      <c r="AB119" s="4" t="s">
        <v>234</v>
      </c>
      <c r="AC119" s="4" t="s">
        <v>232</v>
      </c>
    </row>
    <row r="120" spans="1:29" ht="33.75" customHeight="1" x14ac:dyDescent="0.35">
      <c r="A120" s="4" t="s">
        <v>31</v>
      </c>
      <c r="B120" s="4">
        <v>26055455</v>
      </c>
      <c r="C120" s="4" t="s">
        <v>27</v>
      </c>
      <c r="D120" s="4" t="s">
        <v>74</v>
      </c>
      <c r="F120" s="8" t="s">
        <v>160</v>
      </c>
      <c r="G120" s="6" t="s">
        <v>233</v>
      </c>
      <c r="H120" s="4" t="s">
        <v>176</v>
      </c>
      <c r="J120" s="1" t="s">
        <v>28</v>
      </c>
      <c r="K120" s="4">
        <v>2.1760000000000002</v>
      </c>
      <c r="L120" s="4">
        <v>1877.2746</v>
      </c>
      <c r="M120" s="6">
        <v>18</v>
      </c>
      <c r="N120" s="6">
        <f t="shared" si="4"/>
        <v>735.29091532799998</v>
      </c>
      <c r="O120" s="1">
        <v>4</v>
      </c>
      <c r="P120" s="1">
        <f t="shared" si="6"/>
        <v>163.397981184</v>
      </c>
      <c r="Q120" s="6">
        <f t="shared" si="5"/>
        <v>4084.9495296</v>
      </c>
      <c r="X120" s="6">
        <f t="shared" si="7"/>
        <v>4983.6384261120002</v>
      </c>
      <c r="AB120" s="4" t="s">
        <v>234</v>
      </c>
      <c r="AC120" s="4" t="s">
        <v>232</v>
      </c>
    </row>
    <row r="121" spans="1:29" ht="33.75" customHeight="1" x14ac:dyDescent="0.35">
      <c r="A121" s="4" t="s">
        <v>31</v>
      </c>
      <c r="B121" s="4">
        <v>26055455</v>
      </c>
      <c r="C121" s="4" t="s">
        <v>27</v>
      </c>
      <c r="D121" s="4" t="s">
        <v>74</v>
      </c>
      <c r="F121" s="8" t="s">
        <v>160</v>
      </c>
      <c r="G121" s="6" t="s">
        <v>233</v>
      </c>
      <c r="H121" s="4" t="s">
        <v>213</v>
      </c>
      <c r="J121" s="1" t="s">
        <v>28</v>
      </c>
      <c r="K121" s="4">
        <v>0.70399999999999996</v>
      </c>
      <c r="L121" s="4">
        <v>941.85059999999999</v>
      </c>
      <c r="M121" s="6">
        <v>18</v>
      </c>
      <c r="N121" s="6">
        <f t="shared" si="4"/>
        <v>119.35130803199999</v>
      </c>
      <c r="O121" s="1">
        <v>4</v>
      </c>
      <c r="P121" s="1">
        <f t="shared" si="6"/>
        <v>26.522512895999999</v>
      </c>
      <c r="Q121" s="6">
        <f t="shared" si="5"/>
        <v>663.06282239999996</v>
      </c>
      <c r="X121" s="6">
        <f t="shared" si="7"/>
        <v>808.93664332799995</v>
      </c>
      <c r="AB121" s="4" t="s">
        <v>234</v>
      </c>
      <c r="AC121" s="4" t="s">
        <v>232</v>
      </c>
    </row>
    <row r="122" spans="1:29" ht="33.75" customHeight="1" x14ac:dyDescent="0.35">
      <c r="A122" s="4" t="s">
        <v>31</v>
      </c>
      <c r="B122" s="4">
        <v>26055455</v>
      </c>
      <c r="C122" s="4" t="s">
        <v>27</v>
      </c>
      <c r="D122" s="4" t="s">
        <v>74</v>
      </c>
      <c r="F122" s="8" t="s">
        <v>160</v>
      </c>
      <c r="G122" s="13">
        <v>2005.2</v>
      </c>
      <c r="H122" s="4" t="s">
        <v>178</v>
      </c>
      <c r="J122" s="1" t="s">
        <v>28</v>
      </c>
      <c r="K122" s="4">
        <v>0.68799999999999994</v>
      </c>
      <c r="L122" s="4">
        <v>811.58249999999998</v>
      </c>
      <c r="M122" s="6">
        <v>18</v>
      </c>
      <c r="N122" s="6">
        <f t="shared" si="4"/>
        <v>100.50637679999998</v>
      </c>
      <c r="O122" s="1">
        <v>4</v>
      </c>
      <c r="P122" s="1">
        <f t="shared" si="6"/>
        <v>22.334750399999997</v>
      </c>
      <c r="Q122" s="6">
        <f t="shared" si="5"/>
        <v>558.36875999999995</v>
      </c>
      <c r="X122" s="6">
        <f t="shared" si="7"/>
        <v>681.20988719999991</v>
      </c>
      <c r="AB122" s="4" t="s">
        <v>234</v>
      </c>
      <c r="AC122" s="4" t="s">
        <v>232</v>
      </c>
    </row>
    <row r="123" spans="1:29" ht="33.75" customHeight="1" x14ac:dyDescent="0.35">
      <c r="A123" s="4" t="s">
        <v>31</v>
      </c>
      <c r="B123" s="4">
        <v>26055455</v>
      </c>
      <c r="C123" s="4" t="s">
        <v>27</v>
      </c>
      <c r="D123" s="4" t="s">
        <v>74</v>
      </c>
      <c r="F123" s="8" t="s">
        <v>160</v>
      </c>
      <c r="G123" s="6" t="s">
        <v>233</v>
      </c>
      <c r="H123" s="4" t="s">
        <v>194</v>
      </c>
      <c r="J123" s="1" t="s">
        <v>28</v>
      </c>
      <c r="K123" s="4">
        <v>1.68</v>
      </c>
      <c r="L123" s="4">
        <v>1768.2393999999999</v>
      </c>
      <c r="M123" s="6">
        <v>18</v>
      </c>
      <c r="N123" s="6">
        <f t="shared" si="4"/>
        <v>534.71559456</v>
      </c>
      <c r="O123" s="1">
        <v>4</v>
      </c>
      <c r="P123" s="1">
        <f t="shared" si="6"/>
        <v>118.82568767999999</v>
      </c>
      <c r="Q123" s="6">
        <f t="shared" si="5"/>
        <v>2970.6421919999998</v>
      </c>
      <c r="X123" s="6">
        <f t="shared" si="7"/>
        <v>3624.1834742400001</v>
      </c>
      <c r="AB123" s="4" t="s">
        <v>234</v>
      </c>
      <c r="AC123" s="4" t="s">
        <v>232</v>
      </c>
    </row>
    <row r="124" spans="1:29" ht="33.75" customHeight="1" x14ac:dyDescent="0.35">
      <c r="A124" s="4" t="s">
        <v>31</v>
      </c>
      <c r="B124" s="4">
        <v>26055456</v>
      </c>
      <c r="C124" s="4" t="s">
        <v>27</v>
      </c>
      <c r="D124" s="4" t="s">
        <v>75</v>
      </c>
      <c r="F124" s="7">
        <v>9999999</v>
      </c>
      <c r="G124" s="13">
        <v>2005.2</v>
      </c>
      <c r="H124" s="4" t="s">
        <v>182</v>
      </c>
      <c r="J124" s="1" t="s">
        <v>28</v>
      </c>
      <c r="K124" s="4">
        <v>0.03</v>
      </c>
      <c r="L124" s="4">
        <v>37.742899999999999</v>
      </c>
      <c r="M124" s="6">
        <v>18</v>
      </c>
      <c r="N124" s="6">
        <f t="shared" si="4"/>
        <v>0.20381165999999995</v>
      </c>
      <c r="O124" s="1">
        <v>4</v>
      </c>
      <c r="P124" s="1">
        <f t="shared" si="6"/>
        <v>4.5291479999999995E-2</v>
      </c>
      <c r="Q124" s="6">
        <f t="shared" si="5"/>
        <v>1.1322869999999998</v>
      </c>
      <c r="X124" s="6">
        <f t="shared" si="7"/>
        <v>1.3813901399999997</v>
      </c>
      <c r="AB124" s="4" t="s">
        <v>234</v>
      </c>
      <c r="AC124" s="4" t="s">
        <v>232</v>
      </c>
    </row>
    <row r="125" spans="1:29" ht="33.75" customHeight="1" x14ac:dyDescent="0.35">
      <c r="A125" s="4" t="s">
        <v>31</v>
      </c>
      <c r="B125" s="4">
        <v>26055457</v>
      </c>
      <c r="C125" s="4" t="s">
        <v>27</v>
      </c>
      <c r="D125" s="4" t="s">
        <v>76</v>
      </c>
      <c r="F125" s="7">
        <v>9999999</v>
      </c>
      <c r="G125" s="13">
        <v>2005.2</v>
      </c>
      <c r="H125" s="4" t="s">
        <v>182</v>
      </c>
      <c r="J125" s="1" t="s">
        <v>28</v>
      </c>
      <c r="K125" s="4">
        <v>0.72</v>
      </c>
      <c r="L125" s="4">
        <v>869.59640000000002</v>
      </c>
      <c r="M125" s="6">
        <v>18</v>
      </c>
      <c r="N125" s="6">
        <f t="shared" si="4"/>
        <v>112.69969344</v>
      </c>
      <c r="O125" s="1">
        <v>4</v>
      </c>
      <c r="P125" s="1">
        <f t="shared" si="6"/>
        <v>25.044376320000001</v>
      </c>
      <c r="Q125" s="6">
        <f t="shared" si="5"/>
        <v>626.10940800000003</v>
      </c>
      <c r="X125" s="6">
        <f t="shared" si="7"/>
        <v>763.85347776000003</v>
      </c>
      <c r="AB125" s="4" t="s">
        <v>234</v>
      </c>
      <c r="AC125" s="4" t="s">
        <v>232</v>
      </c>
    </row>
    <row r="126" spans="1:29" ht="33.75" customHeight="1" x14ac:dyDescent="0.35">
      <c r="A126" s="4" t="s">
        <v>31</v>
      </c>
      <c r="B126" s="4">
        <v>26055457</v>
      </c>
      <c r="C126" s="4" t="s">
        <v>27</v>
      </c>
      <c r="D126" s="4" t="s">
        <v>76</v>
      </c>
      <c r="F126" s="7">
        <v>9999999</v>
      </c>
      <c r="G126" s="13">
        <v>2005.2</v>
      </c>
      <c r="H126" s="4" t="s">
        <v>188</v>
      </c>
      <c r="J126" s="1" t="s">
        <v>28</v>
      </c>
      <c r="K126" s="4">
        <v>0.69599999999999995</v>
      </c>
      <c r="L126" s="4">
        <v>869.59640000000002</v>
      </c>
      <c r="M126" s="6">
        <v>18</v>
      </c>
      <c r="N126" s="6">
        <f t="shared" si="4"/>
        <v>108.94303699199999</v>
      </c>
      <c r="O126" s="1">
        <v>4</v>
      </c>
      <c r="P126" s="1">
        <f t="shared" si="6"/>
        <v>24.209563776</v>
      </c>
      <c r="Q126" s="6">
        <f t="shared" si="5"/>
        <v>605.2390944</v>
      </c>
      <c r="X126" s="6">
        <f t="shared" si="7"/>
        <v>738.39169516799996</v>
      </c>
      <c r="AB126" s="4" t="s">
        <v>234</v>
      </c>
      <c r="AC126" s="4" t="s">
        <v>232</v>
      </c>
    </row>
    <row r="127" spans="1:29" ht="33.75" customHeight="1" x14ac:dyDescent="0.35">
      <c r="A127" s="4" t="s">
        <v>31</v>
      </c>
      <c r="B127" s="4">
        <v>26055458</v>
      </c>
      <c r="C127" s="4" t="s">
        <v>27</v>
      </c>
      <c r="D127" s="4" t="s">
        <v>77</v>
      </c>
      <c r="F127" s="7">
        <v>9999999</v>
      </c>
      <c r="G127" s="13">
        <v>2005.2</v>
      </c>
      <c r="H127" s="4" t="s">
        <v>182</v>
      </c>
      <c r="J127" s="1" t="s">
        <v>28</v>
      </c>
      <c r="K127" s="4">
        <v>0.03</v>
      </c>
      <c r="L127" s="4">
        <v>37.742899999999999</v>
      </c>
      <c r="M127" s="6">
        <v>18</v>
      </c>
      <c r="N127" s="6">
        <f t="shared" si="4"/>
        <v>0.20381165999999995</v>
      </c>
      <c r="O127" s="1">
        <v>4</v>
      </c>
      <c r="P127" s="1">
        <f t="shared" si="6"/>
        <v>4.5291479999999995E-2</v>
      </c>
      <c r="Q127" s="6">
        <f t="shared" si="5"/>
        <v>1.1322869999999998</v>
      </c>
      <c r="X127" s="6">
        <f t="shared" si="7"/>
        <v>1.3813901399999997</v>
      </c>
      <c r="AB127" s="4" t="s">
        <v>234</v>
      </c>
      <c r="AC127" s="4" t="s">
        <v>232</v>
      </c>
    </row>
    <row r="128" spans="1:29" ht="33.75" customHeight="1" x14ac:dyDescent="0.35">
      <c r="A128" s="4" t="s">
        <v>31</v>
      </c>
      <c r="B128" s="4">
        <v>26055459</v>
      </c>
      <c r="C128" s="4" t="s">
        <v>27</v>
      </c>
      <c r="D128" s="4" t="s">
        <v>78</v>
      </c>
      <c r="F128" s="7">
        <v>9999999</v>
      </c>
      <c r="G128" s="13">
        <v>2005.2</v>
      </c>
      <c r="H128" s="4" t="s">
        <v>182</v>
      </c>
      <c r="J128" s="1" t="s">
        <v>28</v>
      </c>
      <c r="K128" s="4">
        <v>0.03</v>
      </c>
      <c r="L128" s="4">
        <v>37.742899999999999</v>
      </c>
      <c r="M128" s="6">
        <v>18</v>
      </c>
      <c r="N128" s="6">
        <f t="shared" si="4"/>
        <v>0.20381165999999995</v>
      </c>
      <c r="O128" s="1">
        <v>4</v>
      </c>
      <c r="P128" s="1">
        <f t="shared" si="6"/>
        <v>4.5291479999999995E-2</v>
      </c>
      <c r="Q128" s="6">
        <f t="shared" si="5"/>
        <v>1.1322869999999998</v>
      </c>
      <c r="X128" s="6">
        <f t="shared" si="7"/>
        <v>1.3813901399999997</v>
      </c>
      <c r="AB128" s="4" t="s">
        <v>234</v>
      </c>
      <c r="AC128" s="4" t="s">
        <v>232</v>
      </c>
    </row>
    <row r="129" spans="1:29" ht="33.75" customHeight="1" x14ac:dyDescent="0.35">
      <c r="A129" s="4" t="s">
        <v>31</v>
      </c>
      <c r="B129" s="4">
        <v>26055460</v>
      </c>
      <c r="C129" s="4" t="s">
        <v>27</v>
      </c>
      <c r="D129" s="4" t="s">
        <v>79</v>
      </c>
      <c r="F129" s="7">
        <v>9999999</v>
      </c>
      <c r="G129" s="13">
        <v>2005.2</v>
      </c>
      <c r="H129" s="4" t="s">
        <v>182</v>
      </c>
      <c r="J129" s="1" t="s">
        <v>28</v>
      </c>
      <c r="K129" s="4">
        <v>0.03</v>
      </c>
      <c r="L129" s="4">
        <v>37.742899999999999</v>
      </c>
      <c r="M129" s="6">
        <v>18</v>
      </c>
      <c r="N129" s="6">
        <f t="shared" si="4"/>
        <v>0.20381165999999995</v>
      </c>
      <c r="O129" s="1">
        <v>4</v>
      </c>
      <c r="P129" s="1">
        <f t="shared" si="6"/>
        <v>4.5291479999999995E-2</v>
      </c>
      <c r="Q129" s="6">
        <f t="shared" si="5"/>
        <v>1.1322869999999998</v>
      </c>
      <c r="X129" s="6">
        <f t="shared" si="7"/>
        <v>1.3813901399999997</v>
      </c>
      <c r="AB129" s="4" t="s">
        <v>234</v>
      </c>
      <c r="AC129" s="4" t="s">
        <v>232</v>
      </c>
    </row>
    <row r="130" spans="1:29" ht="33.75" customHeight="1" x14ac:dyDescent="0.35">
      <c r="A130" s="4" t="s">
        <v>31</v>
      </c>
      <c r="B130" s="4">
        <v>26055461</v>
      </c>
      <c r="C130" s="4" t="s">
        <v>27</v>
      </c>
      <c r="D130" s="4" t="s">
        <v>80</v>
      </c>
      <c r="F130" s="7">
        <v>9999999</v>
      </c>
      <c r="G130" s="13">
        <v>2005.2</v>
      </c>
      <c r="H130" s="4" t="s">
        <v>182</v>
      </c>
      <c r="J130" s="1" t="s">
        <v>28</v>
      </c>
      <c r="K130" s="4">
        <v>0.03</v>
      </c>
      <c r="L130" s="4">
        <v>37.742899999999999</v>
      </c>
      <c r="M130" s="6">
        <v>18</v>
      </c>
      <c r="N130" s="6">
        <f t="shared" ref="N130:N193" si="8">K130*L130*(M130%)</f>
        <v>0.20381165999999995</v>
      </c>
      <c r="O130" s="1">
        <v>4</v>
      </c>
      <c r="P130" s="1">
        <f t="shared" si="6"/>
        <v>4.5291479999999995E-2</v>
      </c>
      <c r="Q130" s="6">
        <f t="shared" ref="Q130:Q193" si="9">K130*L130</f>
        <v>1.1322869999999998</v>
      </c>
      <c r="X130" s="6">
        <f t="shared" si="7"/>
        <v>1.3813901399999997</v>
      </c>
      <c r="AB130" s="4" t="s">
        <v>234</v>
      </c>
      <c r="AC130" s="4" t="s">
        <v>232</v>
      </c>
    </row>
    <row r="131" spans="1:29" ht="33.75" customHeight="1" x14ac:dyDescent="0.35">
      <c r="A131" s="4" t="s">
        <v>31</v>
      </c>
      <c r="B131" s="4">
        <v>26055462</v>
      </c>
      <c r="C131" s="4" t="s">
        <v>27</v>
      </c>
      <c r="D131" s="4" t="s">
        <v>81</v>
      </c>
      <c r="F131" s="7">
        <v>9999999</v>
      </c>
      <c r="G131" s="13">
        <v>2005.2</v>
      </c>
      <c r="H131" s="4" t="s">
        <v>180</v>
      </c>
      <c r="J131" s="1" t="s">
        <v>28</v>
      </c>
      <c r="K131" s="4">
        <v>0.86399999999999999</v>
      </c>
      <c r="L131" s="4">
        <v>1083.864</v>
      </c>
      <c r="M131" s="6">
        <v>18</v>
      </c>
      <c r="N131" s="6">
        <f t="shared" si="8"/>
        <v>168.56252927999998</v>
      </c>
      <c r="O131" s="1">
        <v>4</v>
      </c>
      <c r="P131" s="1">
        <f t="shared" ref="P131:P194" si="10">Q131*4/100</f>
        <v>37.458339840000001</v>
      </c>
      <c r="Q131" s="6">
        <f t="shared" si="9"/>
        <v>936.45849599999997</v>
      </c>
      <c r="X131" s="6">
        <f t="shared" ref="X131:X194" si="11">Q131+N131+P131</f>
        <v>1142.47936512</v>
      </c>
      <c r="AB131" s="4" t="s">
        <v>234</v>
      </c>
      <c r="AC131" s="4" t="s">
        <v>232</v>
      </c>
    </row>
    <row r="132" spans="1:29" ht="33.75" customHeight="1" x14ac:dyDescent="0.35">
      <c r="A132" s="4" t="s">
        <v>31</v>
      </c>
      <c r="B132" s="4">
        <v>26055462</v>
      </c>
      <c r="C132" s="4" t="s">
        <v>27</v>
      </c>
      <c r="D132" s="4" t="s">
        <v>81</v>
      </c>
      <c r="F132" s="7">
        <v>9999999</v>
      </c>
      <c r="G132" s="6" t="s">
        <v>233</v>
      </c>
      <c r="H132" s="4" t="s">
        <v>186</v>
      </c>
      <c r="J132" s="1" t="s">
        <v>28</v>
      </c>
      <c r="K132" s="4">
        <v>1.0880000000000001</v>
      </c>
      <c r="L132" s="4">
        <v>977.74720000000002</v>
      </c>
      <c r="M132" s="6">
        <v>18</v>
      </c>
      <c r="N132" s="6">
        <f t="shared" si="8"/>
        <v>191.482011648</v>
      </c>
      <c r="O132" s="1">
        <v>4</v>
      </c>
      <c r="P132" s="1">
        <f t="shared" si="10"/>
        <v>42.551558143999998</v>
      </c>
      <c r="Q132" s="6">
        <f t="shared" si="9"/>
        <v>1063.7889536</v>
      </c>
      <c r="X132" s="6">
        <f t="shared" si="11"/>
        <v>1297.822523392</v>
      </c>
      <c r="AB132" s="4" t="s">
        <v>234</v>
      </c>
      <c r="AC132" s="4" t="s">
        <v>232</v>
      </c>
    </row>
    <row r="133" spans="1:29" ht="33.75" customHeight="1" x14ac:dyDescent="0.35">
      <c r="A133" s="4" t="s">
        <v>31</v>
      </c>
      <c r="B133" s="4">
        <v>26055463</v>
      </c>
      <c r="C133" s="4" t="s">
        <v>27</v>
      </c>
      <c r="D133" s="4" t="s">
        <v>82</v>
      </c>
      <c r="F133" s="7">
        <v>9999999</v>
      </c>
      <c r="G133" s="13">
        <v>2005.2</v>
      </c>
      <c r="H133" s="4" t="s">
        <v>182</v>
      </c>
      <c r="J133" s="1" t="s">
        <v>28</v>
      </c>
      <c r="K133" s="4">
        <v>0.03</v>
      </c>
      <c r="L133" s="4">
        <v>37.742899999999999</v>
      </c>
      <c r="M133" s="6">
        <v>18</v>
      </c>
      <c r="N133" s="6">
        <f t="shared" si="8"/>
        <v>0.20381165999999995</v>
      </c>
      <c r="O133" s="1">
        <v>4</v>
      </c>
      <c r="P133" s="1">
        <f t="shared" si="10"/>
        <v>4.5291479999999995E-2</v>
      </c>
      <c r="Q133" s="6">
        <f t="shared" si="9"/>
        <v>1.1322869999999998</v>
      </c>
      <c r="X133" s="6">
        <f t="shared" si="11"/>
        <v>1.3813901399999997</v>
      </c>
      <c r="AB133" s="4" t="s">
        <v>234</v>
      </c>
      <c r="AC133" s="4" t="s">
        <v>232</v>
      </c>
    </row>
    <row r="134" spans="1:29" ht="33.75" customHeight="1" x14ac:dyDescent="0.35">
      <c r="A134" s="4" t="s">
        <v>31</v>
      </c>
      <c r="B134" s="4">
        <v>26055464</v>
      </c>
      <c r="C134" s="4" t="s">
        <v>27</v>
      </c>
      <c r="D134" s="4" t="s">
        <v>83</v>
      </c>
      <c r="F134" s="7">
        <v>9999999</v>
      </c>
      <c r="G134" s="13">
        <v>2005.2</v>
      </c>
      <c r="H134" s="4" t="s">
        <v>182</v>
      </c>
      <c r="J134" s="1" t="s">
        <v>28</v>
      </c>
      <c r="K134" s="4">
        <v>0.03</v>
      </c>
      <c r="L134" s="4">
        <v>37.742899999999999</v>
      </c>
      <c r="M134" s="6">
        <v>18</v>
      </c>
      <c r="N134" s="6">
        <f t="shared" si="8"/>
        <v>0.20381165999999995</v>
      </c>
      <c r="O134" s="1">
        <v>4</v>
      </c>
      <c r="P134" s="1">
        <f t="shared" si="10"/>
        <v>4.5291479999999995E-2</v>
      </c>
      <c r="Q134" s="6">
        <f t="shared" si="9"/>
        <v>1.1322869999999998</v>
      </c>
      <c r="X134" s="6">
        <f t="shared" si="11"/>
        <v>1.3813901399999997</v>
      </c>
      <c r="AB134" s="4" t="s">
        <v>234</v>
      </c>
      <c r="AC134" s="4" t="s">
        <v>232</v>
      </c>
    </row>
    <row r="135" spans="1:29" ht="33.75" customHeight="1" x14ac:dyDescent="0.35">
      <c r="A135" s="4" t="s">
        <v>31</v>
      </c>
      <c r="B135" s="4">
        <v>26055465</v>
      </c>
      <c r="C135" s="4" t="s">
        <v>27</v>
      </c>
      <c r="D135" s="4" t="s">
        <v>84</v>
      </c>
      <c r="F135" s="7">
        <v>9999999</v>
      </c>
      <c r="G135" s="13">
        <v>2005.2</v>
      </c>
      <c r="H135" s="4" t="s">
        <v>182</v>
      </c>
      <c r="J135" s="1" t="s">
        <v>28</v>
      </c>
      <c r="K135" s="4">
        <v>0.03</v>
      </c>
      <c r="L135" s="4">
        <v>37.742899999999999</v>
      </c>
      <c r="M135" s="6">
        <v>18</v>
      </c>
      <c r="N135" s="6">
        <f t="shared" si="8"/>
        <v>0.20381165999999995</v>
      </c>
      <c r="O135" s="1">
        <v>4</v>
      </c>
      <c r="P135" s="1">
        <f t="shared" si="10"/>
        <v>4.5291479999999995E-2</v>
      </c>
      <c r="Q135" s="6">
        <f t="shared" si="9"/>
        <v>1.1322869999999998</v>
      </c>
      <c r="X135" s="6">
        <f t="shared" si="11"/>
        <v>1.3813901399999997</v>
      </c>
      <c r="AB135" s="4" t="s">
        <v>234</v>
      </c>
      <c r="AC135" s="4" t="s">
        <v>232</v>
      </c>
    </row>
    <row r="136" spans="1:29" ht="33.75" customHeight="1" x14ac:dyDescent="0.35">
      <c r="A136" s="4" t="s">
        <v>31</v>
      </c>
      <c r="B136" s="4">
        <v>26055466</v>
      </c>
      <c r="C136" s="4" t="s">
        <v>27</v>
      </c>
      <c r="D136" s="4" t="s">
        <v>85</v>
      </c>
      <c r="F136" s="7">
        <v>9999999</v>
      </c>
      <c r="G136" s="13">
        <v>2005.2</v>
      </c>
      <c r="H136" s="4" t="s">
        <v>182</v>
      </c>
      <c r="J136" s="1" t="s">
        <v>28</v>
      </c>
      <c r="K136" s="4">
        <v>0.03</v>
      </c>
      <c r="L136" s="4">
        <v>36.988</v>
      </c>
      <c r="M136" s="6">
        <v>18</v>
      </c>
      <c r="N136" s="6">
        <f t="shared" si="8"/>
        <v>0.19973519999999997</v>
      </c>
      <c r="O136" s="1">
        <v>4</v>
      </c>
      <c r="P136" s="1">
        <f t="shared" si="10"/>
        <v>4.4385599999999997E-2</v>
      </c>
      <c r="Q136" s="6">
        <f t="shared" si="9"/>
        <v>1.10964</v>
      </c>
      <c r="X136" s="6">
        <f t="shared" si="11"/>
        <v>1.3537607999999999</v>
      </c>
      <c r="AB136" s="4" t="s">
        <v>234</v>
      </c>
      <c r="AC136" s="4" t="s">
        <v>232</v>
      </c>
    </row>
    <row r="137" spans="1:29" ht="33.75" customHeight="1" x14ac:dyDescent="0.35">
      <c r="A137" s="4" t="s">
        <v>31</v>
      </c>
      <c r="B137" s="4">
        <v>26055467</v>
      </c>
      <c r="C137" s="4" t="s">
        <v>27</v>
      </c>
      <c r="D137" s="4" t="s">
        <v>86</v>
      </c>
      <c r="F137" s="7">
        <v>9999999</v>
      </c>
      <c r="G137" s="13">
        <v>2005.2</v>
      </c>
      <c r="H137" s="4" t="s">
        <v>182</v>
      </c>
      <c r="J137" s="1" t="s">
        <v>28</v>
      </c>
      <c r="K137" s="4">
        <v>0.03</v>
      </c>
      <c r="L137" s="4">
        <v>37.742899999999999</v>
      </c>
      <c r="M137" s="6">
        <v>18</v>
      </c>
      <c r="N137" s="6">
        <f t="shared" si="8"/>
        <v>0.20381165999999995</v>
      </c>
      <c r="O137" s="1">
        <v>4</v>
      </c>
      <c r="P137" s="1">
        <f t="shared" si="10"/>
        <v>4.5291479999999995E-2</v>
      </c>
      <c r="Q137" s="6">
        <f t="shared" si="9"/>
        <v>1.1322869999999998</v>
      </c>
      <c r="X137" s="6">
        <f t="shared" si="11"/>
        <v>1.3813901399999997</v>
      </c>
      <c r="AB137" s="4" t="s">
        <v>234</v>
      </c>
      <c r="AC137" s="4" t="s">
        <v>232</v>
      </c>
    </row>
    <row r="138" spans="1:29" ht="33.75" customHeight="1" x14ac:dyDescent="0.35">
      <c r="A138" s="4" t="s">
        <v>31</v>
      </c>
      <c r="B138" s="4">
        <v>26055468</v>
      </c>
      <c r="C138" s="4" t="s">
        <v>27</v>
      </c>
      <c r="D138" s="4" t="s">
        <v>87</v>
      </c>
      <c r="F138" s="7">
        <v>9999999</v>
      </c>
      <c r="G138" s="13">
        <v>2005.2</v>
      </c>
      <c r="H138" s="4" t="s">
        <v>205</v>
      </c>
      <c r="J138" s="1" t="s">
        <v>28</v>
      </c>
      <c r="K138" s="4">
        <v>0.86399999999999999</v>
      </c>
      <c r="L138" s="4">
        <v>876.68640000000005</v>
      </c>
      <c r="M138" s="6">
        <v>18</v>
      </c>
      <c r="N138" s="6">
        <f t="shared" si="8"/>
        <v>136.34226892800001</v>
      </c>
      <c r="O138" s="1">
        <v>4</v>
      </c>
      <c r="P138" s="1">
        <f t="shared" si="10"/>
        <v>30.298281983999999</v>
      </c>
      <c r="Q138" s="6">
        <f t="shared" si="9"/>
        <v>757.4570496</v>
      </c>
      <c r="X138" s="6">
        <f t="shared" si="11"/>
        <v>924.09760051199999</v>
      </c>
      <c r="AB138" s="4" t="s">
        <v>234</v>
      </c>
      <c r="AC138" s="4" t="s">
        <v>232</v>
      </c>
    </row>
    <row r="139" spans="1:29" ht="33.75" customHeight="1" x14ac:dyDescent="0.35">
      <c r="A139" s="4" t="s">
        <v>31</v>
      </c>
      <c r="B139" s="4">
        <v>26055468</v>
      </c>
      <c r="C139" s="4" t="s">
        <v>27</v>
      </c>
      <c r="D139" s="4" t="s">
        <v>87</v>
      </c>
      <c r="F139" s="7">
        <v>9999999</v>
      </c>
      <c r="G139" s="13">
        <v>2005.2</v>
      </c>
      <c r="H139" s="4" t="s">
        <v>214</v>
      </c>
      <c r="J139" s="1" t="s">
        <v>28</v>
      </c>
      <c r="K139" s="4">
        <v>0.86399999999999999</v>
      </c>
      <c r="L139" s="4">
        <v>876.68640000000005</v>
      </c>
      <c r="M139" s="6">
        <v>18</v>
      </c>
      <c r="N139" s="6">
        <f t="shared" si="8"/>
        <v>136.34226892800001</v>
      </c>
      <c r="O139" s="1">
        <v>4</v>
      </c>
      <c r="P139" s="1">
        <f t="shared" si="10"/>
        <v>30.298281983999999</v>
      </c>
      <c r="Q139" s="6">
        <f t="shared" si="9"/>
        <v>757.4570496</v>
      </c>
      <c r="X139" s="6">
        <f t="shared" si="11"/>
        <v>924.09760051199999</v>
      </c>
      <c r="AB139" s="4" t="s">
        <v>234</v>
      </c>
      <c r="AC139" s="4" t="s">
        <v>232</v>
      </c>
    </row>
    <row r="140" spans="1:29" ht="33.75" customHeight="1" x14ac:dyDescent="0.35">
      <c r="A140" s="4" t="s">
        <v>31</v>
      </c>
      <c r="B140" s="4">
        <v>26055468</v>
      </c>
      <c r="C140" s="4" t="s">
        <v>27</v>
      </c>
      <c r="D140" s="4" t="s">
        <v>87</v>
      </c>
      <c r="F140" s="7">
        <v>9999999</v>
      </c>
      <c r="G140" s="13">
        <v>2005.2</v>
      </c>
      <c r="H140" s="4" t="s">
        <v>181</v>
      </c>
      <c r="J140" s="1" t="s">
        <v>28</v>
      </c>
      <c r="K140" s="4">
        <v>0.72</v>
      </c>
      <c r="L140" s="4">
        <v>878.65470000000005</v>
      </c>
      <c r="M140" s="6">
        <v>18</v>
      </c>
      <c r="N140" s="6">
        <f t="shared" si="8"/>
        <v>113.87364912</v>
      </c>
      <c r="O140" s="1">
        <v>4</v>
      </c>
      <c r="P140" s="1">
        <f t="shared" si="10"/>
        <v>25.30525536</v>
      </c>
      <c r="Q140" s="6">
        <f t="shared" si="9"/>
        <v>632.63138400000003</v>
      </c>
      <c r="X140" s="6">
        <f t="shared" si="11"/>
        <v>771.81028848000005</v>
      </c>
      <c r="AB140" s="4" t="s">
        <v>234</v>
      </c>
      <c r="AC140" s="4" t="s">
        <v>232</v>
      </c>
    </row>
    <row r="141" spans="1:29" ht="33.75" customHeight="1" x14ac:dyDescent="0.35">
      <c r="A141" s="4" t="s">
        <v>31</v>
      </c>
      <c r="B141" s="4">
        <v>26055468</v>
      </c>
      <c r="C141" s="4" t="s">
        <v>27</v>
      </c>
      <c r="D141" s="4" t="s">
        <v>87</v>
      </c>
      <c r="F141" s="7">
        <v>9999999</v>
      </c>
      <c r="G141" s="13">
        <v>2005.2</v>
      </c>
      <c r="H141" s="4" t="s">
        <v>182</v>
      </c>
      <c r="J141" s="1" t="s">
        <v>28</v>
      </c>
      <c r="K141" s="4">
        <v>0.72</v>
      </c>
      <c r="L141" s="4">
        <v>878.65470000000005</v>
      </c>
      <c r="M141" s="6">
        <v>18</v>
      </c>
      <c r="N141" s="6">
        <f t="shared" si="8"/>
        <v>113.87364912</v>
      </c>
      <c r="O141" s="1">
        <v>4</v>
      </c>
      <c r="P141" s="1">
        <f t="shared" si="10"/>
        <v>25.30525536</v>
      </c>
      <c r="Q141" s="6">
        <f t="shared" si="9"/>
        <v>632.63138400000003</v>
      </c>
      <c r="X141" s="6">
        <f t="shared" si="11"/>
        <v>771.81028848000005</v>
      </c>
      <c r="AB141" s="4" t="s">
        <v>234</v>
      </c>
      <c r="AC141" s="4" t="s">
        <v>232</v>
      </c>
    </row>
    <row r="142" spans="1:29" ht="33.75" customHeight="1" x14ac:dyDescent="0.35">
      <c r="A142" s="4" t="s">
        <v>31</v>
      </c>
      <c r="B142" s="4">
        <v>26055468</v>
      </c>
      <c r="C142" s="4" t="s">
        <v>27</v>
      </c>
      <c r="D142" s="4" t="s">
        <v>87</v>
      </c>
      <c r="F142" s="7">
        <v>9999999</v>
      </c>
      <c r="G142" s="13">
        <v>2005.2</v>
      </c>
      <c r="H142" s="4" t="s">
        <v>163</v>
      </c>
      <c r="J142" s="1" t="s">
        <v>28</v>
      </c>
      <c r="K142" s="4">
        <v>0.72</v>
      </c>
      <c r="L142" s="4">
        <v>814.83410000000003</v>
      </c>
      <c r="M142" s="6">
        <v>18</v>
      </c>
      <c r="N142" s="6">
        <f t="shared" si="8"/>
        <v>105.60249936</v>
      </c>
      <c r="O142" s="1">
        <v>4</v>
      </c>
      <c r="P142" s="1">
        <f t="shared" si="10"/>
        <v>23.467222080000003</v>
      </c>
      <c r="Q142" s="6">
        <f t="shared" si="9"/>
        <v>586.68055200000003</v>
      </c>
      <c r="X142" s="6">
        <f t="shared" si="11"/>
        <v>715.75027344000011</v>
      </c>
      <c r="AB142" s="4" t="s">
        <v>234</v>
      </c>
      <c r="AC142" s="4" t="s">
        <v>232</v>
      </c>
    </row>
    <row r="143" spans="1:29" ht="33.75" customHeight="1" x14ac:dyDescent="0.35">
      <c r="A143" s="4" t="s">
        <v>31</v>
      </c>
      <c r="B143" s="4">
        <v>26055468</v>
      </c>
      <c r="C143" s="4" t="s">
        <v>27</v>
      </c>
      <c r="D143" s="4" t="s">
        <v>87</v>
      </c>
      <c r="F143" s="7">
        <v>9999999</v>
      </c>
      <c r="G143" s="6" t="s">
        <v>233</v>
      </c>
      <c r="H143" s="4" t="s">
        <v>209</v>
      </c>
      <c r="J143" s="1" t="s">
        <v>28</v>
      </c>
      <c r="K143" s="4">
        <v>1.1200000000000001</v>
      </c>
      <c r="L143" s="4">
        <v>888.96230000000003</v>
      </c>
      <c r="M143" s="6">
        <v>18</v>
      </c>
      <c r="N143" s="6">
        <f t="shared" si="8"/>
        <v>179.21479968000003</v>
      </c>
      <c r="O143" s="1">
        <v>4</v>
      </c>
      <c r="P143" s="1">
        <f t="shared" si="10"/>
        <v>39.825511040000009</v>
      </c>
      <c r="Q143" s="6">
        <f t="shared" si="9"/>
        <v>995.63777600000014</v>
      </c>
      <c r="X143" s="6">
        <f t="shared" si="11"/>
        <v>1214.6780867200002</v>
      </c>
      <c r="AB143" s="4" t="s">
        <v>234</v>
      </c>
      <c r="AC143" s="4" t="s">
        <v>232</v>
      </c>
    </row>
    <row r="144" spans="1:29" ht="33.75" customHeight="1" x14ac:dyDescent="0.35">
      <c r="A144" s="4" t="s">
        <v>31</v>
      </c>
      <c r="B144" s="4">
        <v>26055468</v>
      </c>
      <c r="C144" s="4" t="s">
        <v>27</v>
      </c>
      <c r="D144" s="4" t="s">
        <v>87</v>
      </c>
      <c r="F144" s="7">
        <v>9999999</v>
      </c>
      <c r="G144" s="6" t="s">
        <v>233</v>
      </c>
      <c r="H144" s="4" t="s">
        <v>164</v>
      </c>
      <c r="J144" s="1" t="s">
        <v>28</v>
      </c>
      <c r="K144" s="4">
        <v>0.496</v>
      </c>
      <c r="L144" s="4">
        <v>591.08389999999997</v>
      </c>
      <c r="M144" s="6">
        <v>18</v>
      </c>
      <c r="N144" s="6">
        <f t="shared" si="8"/>
        <v>52.771970591999995</v>
      </c>
      <c r="O144" s="1">
        <v>4</v>
      </c>
      <c r="P144" s="1">
        <f t="shared" si="10"/>
        <v>11.727104575999999</v>
      </c>
      <c r="Q144" s="6">
        <f t="shared" si="9"/>
        <v>293.17761439999998</v>
      </c>
      <c r="X144" s="6">
        <f t="shared" si="11"/>
        <v>357.67668956799997</v>
      </c>
      <c r="AB144" s="4" t="s">
        <v>234</v>
      </c>
      <c r="AC144" s="4" t="s">
        <v>232</v>
      </c>
    </row>
    <row r="145" spans="1:29" ht="33.75" customHeight="1" x14ac:dyDescent="0.35">
      <c r="A145" s="4" t="s">
        <v>31</v>
      </c>
      <c r="B145" s="4">
        <v>26055468</v>
      </c>
      <c r="C145" s="4" t="s">
        <v>27</v>
      </c>
      <c r="D145" s="4" t="s">
        <v>87</v>
      </c>
      <c r="F145" s="7">
        <v>9999999</v>
      </c>
      <c r="G145" s="6" t="s">
        <v>233</v>
      </c>
      <c r="H145" s="4" t="s">
        <v>186</v>
      </c>
      <c r="J145" s="1" t="s">
        <v>28</v>
      </c>
      <c r="K145" s="4">
        <v>1.0880000000000001</v>
      </c>
      <c r="L145" s="4">
        <v>948.41480000000001</v>
      </c>
      <c r="M145" s="6">
        <v>18</v>
      </c>
      <c r="N145" s="6">
        <f t="shared" si="8"/>
        <v>185.737554432</v>
      </c>
      <c r="O145" s="1">
        <v>4</v>
      </c>
      <c r="P145" s="1">
        <f t="shared" si="10"/>
        <v>41.275012095999998</v>
      </c>
      <c r="Q145" s="6">
        <f t="shared" si="9"/>
        <v>1031.8753024</v>
      </c>
      <c r="X145" s="6">
        <f t="shared" si="11"/>
        <v>1258.887868928</v>
      </c>
      <c r="AB145" s="4" t="s">
        <v>234</v>
      </c>
      <c r="AC145" s="4" t="s">
        <v>232</v>
      </c>
    </row>
    <row r="146" spans="1:29" ht="33.75" customHeight="1" x14ac:dyDescent="0.35">
      <c r="A146" s="4" t="s">
        <v>31</v>
      </c>
      <c r="B146" s="4">
        <v>26055468</v>
      </c>
      <c r="C146" s="4" t="s">
        <v>27</v>
      </c>
      <c r="D146" s="4" t="s">
        <v>87</v>
      </c>
      <c r="F146" s="7">
        <v>9999999</v>
      </c>
      <c r="G146" s="13">
        <v>2005.2</v>
      </c>
      <c r="H146" s="4" t="s">
        <v>188</v>
      </c>
      <c r="J146" s="1" t="s">
        <v>28</v>
      </c>
      <c r="K146" s="4">
        <v>0.69599999999999995</v>
      </c>
      <c r="L146" s="4">
        <v>878.65470000000005</v>
      </c>
      <c r="M146" s="6">
        <v>18</v>
      </c>
      <c r="N146" s="6">
        <f t="shared" si="8"/>
        <v>110.07786081599998</v>
      </c>
      <c r="O146" s="1">
        <v>4</v>
      </c>
      <c r="P146" s="1">
        <f t="shared" si="10"/>
        <v>24.461746847999997</v>
      </c>
      <c r="Q146" s="6">
        <f t="shared" si="9"/>
        <v>611.54367119999995</v>
      </c>
      <c r="X146" s="6">
        <f t="shared" si="11"/>
        <v>746.08327886399991</v>
      </c>
      <c r="AB146" s="4" t="s">
        <v>234</v>
      </c>
      <c r="AC146" s="4" t="s">
        <v>232</v>
      </c>
    </row>
    <row r="147" spans="1:29" ht="33.75" customHeight="1" x14ac:dyDescent="0.35">
      <c r="A147" s="4" t="s">
        <v>31</v>
      </c>
      <c r="B147" s="4">
        <v>26055468</v>
      </c>
      <c r="C147" s="4" t="s">
        <v>27</v>
      </c>
      <c r="D147" s="4" t="s">
        <v>87</v>
      </c>
      <c r="F147" s="7">
        <v>9999999</v>
      </c>
      <c r="G147" s="6" t="s">
        <v>233</v>
      </c>
      <c r="H147" s="4" t="s">
        <v>202</v>
      </c>
      <c r="J147" s="1" t="s">
        <v>28</v>
      </c>
      <c r="K147" s="4">
        <v>0.84</v>
      </c>
      <c r="L147" s="4">
        <v>893.32929999999999</v>
      </c>
      <c r="M147" s="6">
        <v>18</v>
      </c>
      <c r="N147" s="6">
        <f t="shared" si="8"/>
        <v>135.07139015999999</v>
      </c>
      <c r="O147" s="1">
        <v>4</v>
      </c>
      <c r="P147" s="1">
        <f t="shared" si="10"/>
        <v>30.015864480000001</v>
      </c>
      <c r="Q147" s="6">
        <f t="shared" si="9"/>
        <v>750.396612</v>
      </c>
      <c r="X147" s="6">
        <f t="shared" si="11"/>
        <v>915.48386663999997</v>
      </c>
      <c r="AB147" s="4" t="s">
        <v>234</v>
      </c>
      <c r="AC147" s="4" t="s">
        <v>232</v>
      </c>
    </row>
    <row r="148" spans="1:29" ht="33.75" customHeight="1" x14ac:dyDescent="0.35">
      <c r="A148" s="4" t="s">
        <v>31</v>
      </c>
      <c r="B148" s="4">
        <v>26055469</v>
      </c>
      <c r="C148" s="4" t="s">
        <v>27</v>
      </c>
      <c r="D148" s="4" t="s">
        <v>88</v>
      </c>
      <c r="F148" s="7">
        <v>9999999</v>
      </c>
      <c r="G148" s="13">
        <v>2005.2</v>
      </c>
      <c r="H148" s="4" t="s">
        <v>182</v>
      </c>
      <c r="J148" s="1" t="s">
        <v>28</v>
      </c>
      <c r="K148" s="4">
        <v>0.03</v>
      </c>
      <c r="L148" s="4">
        <v>37.742899999999999</v>
      </c>
      <c r="M148" s="6">
        <v>18</v>
      </c>
      <c r="N148" s="6">
        <f t="shared" si="8"/>
        <v>0.20381165999999995</v>
      </c>
      <c r="O148" s="1">
        <v>4</v>
      </c>
      <c r="P148" s="1">
        <f t="shared" si="10"/>
        <v>4.5291479999999995E-2</v>
      </c>
      <c r="Q148" s="6">
        <f t="shared" si="9"/>
        <v>1.1322869999999998</v>
      </c>
      <c r="X148" s="6">
        <f t="shared" si="11"/>
        <v>1.3813901399999997</v>
      </c>
      <c r="AB148" s="4" t="s">
        <v>234</v>
      </c>
      <c r="AC148" s="4" t="s">
        <v>232</v>
      </c>
    </row>
    <row r="149" spans="1:29" ht="33.75" customHeight="1" x14ac:dyDescent="0.35">
      <c r="A149" s="4" t="s">
        <v>31</v>
      </c>
      <c r="B149" s="4">
        <v>26055470</v>
      </c>
      <c r="C149" s="4" t="s">
        <v>27</v>
      </c>
      <c r="D149" s="4" t="s">
        <v>89</v>
      </c>
      <c r="F149" s="7">
        <v>9999999</v>
      </c>
      <c r="G149" s="13">
        <v>2005.2</v>
      </c>
      <c r="H149" s="4" t="s">
        <v>182</v>
      </c>
      <c r="J149" s="1" t="s">
        <v>28</v>
      </c>
      <c r="K149" s="4">
        <v>0.03</v>
      </c>
      <c r="L149" s="4">
        <v>37.742899999999999</v>
      </c>
      <c r="M149" s="6">
        <v>18</v>
      </c>
      <c r="N149" s="6">
        <f t="shared" si="8"/>
        <v>0.20381165999999995</v>
      </c>
      <c r="O149" s="1">
        <v>4</v>
      </c>
      <c r="P149" s="1">
        <f t="shared" si="10"/>
        <v>4.5291479999999995E-2</v>
      </c>
      <c r="Q149" s="6">
        <f t="shared" si="9"/>
        <v>1.1322869999999998</v>
      </c>
      <c r="X149" s="6">
        <f t="shared" si="11"/>
        <v>1.3813901399999997</v>
      </c>
      <c r="AB149" s="4" t="s">
        <v>234</v>
      </c>
      <c r="AC149" s="4" t="s">
        <v>232</v>
      </c>
    </row>
    <row r="150" spans="1:29" ht="33.75" customHeight="1" x14ac:dyDescent="0.35">
      <c r="A150" s="4" t="s">
        <v>31</v>
      </c>
      <c r="B150" s="4">
        <v>26055471</v>
      </c>
      <c r="C150" s="4" t="s">
        <v>27</v>
      </c>
      <c r="D150" s="4" t="s">
        <v>90</v>
      </c>
      <c r="F150" s="7">
        <v>9999999</v>
      </c>
      <c r="G150" s="13">
        <v>2005.2</v>
      </c>
      <c r="H150" s="4" t="s">
        <v>182</v>
      </c>
      <c r="J150" s="1" t="s">
        <v>28</v>
      </c>
      <c r="K150" s="4">
        <v>0.03</v>
      </c>
      <c r="L150" s="4">
        <v>37.742899999999999</v>
      </c>
      <c r="M150" s="6">
        <v>18</v>
      </c>
      <c r="N150" s="6">
        <f t="shared" si="8"/>
        <v>0.20381165999999995</v>
      </c>
      <c r="O150" s="1">
        <v>4</v>
      </c>
      <c r="P150" s="1">
        <f t="shared" si="10"/>
        <v>4.5291479999999995E-2</v>
      </c>
      <c r="Q150" s="6">
        <f t="shared" si="9"/>
        <v>1.1322869999999998</v>
      </c>
      <c r="X150" s="6">
        <f t="shared" si="11"/>
        <v>1.3813901399999997</v>
      </c>
      <c r="AB150" s="4" t="s">
        <v>234</v>
      </c>
      <c r="AC150" s="4" t="s">
        <v>232</v>
      </c>
    </row>
    <row r="151" spans="1:29" ht="33.75" customHeight="1" x14ac:dyDescent="0.35">
      <c r="A151" s="4" t="s">
        <v>31</v>
      </c>
      <c r="B151" s="4">
        <v>26055472</v>
      </c>
      <c r="C151" s="4" t="s">
        <v>27</v>
      </c>
      <c r="D151" s="4" t="s">
        <v>91</v>
      </c>
      <c r="F151" s="7">
        <v>9999999</v>
      </c>
      <c r="G151" s="13">
        <v>2005.2</v>
      </c>
      <c r="H151" s="4" t="s">
        <v>215</v>
      </c>
      <c r="J151" s="1" t="s">
        <v>28</v>
      </c>
      <c r="K151" s="4">
        <v>0.86399999999999999</v>
      </c>
      <c r="L151" s="4">
        <v>1040.5093999999999</v>
      </c>
      <c r="M151" s="6">
        <v>18</v>
      </c>
      <c r="N151" s="6">
        <f t="shared" si="8"/>
        <v>161.82002188799999</v>
      </c>
      <c r="O151" s="1">
        <v>4</v>
      </c>
      <c r="P151" s="1">
        <f t="shared" si="10"/>
        <v>35.960004863999998</v>
      </c>
      <c r="Q151" s="6">
        <f t="shared" si="9"/>
        <v>899.00012159999994</v>
      </c>
      <c r="X151" s="6">
        <f t="shared" si="11"/>
        <v>1096.780148352</v>
      </c>
      <c r="AB151" s="4" t="s">
        <v>234</v>
      </c>
      <c r="AC151" s="4" t="s">
        <v>232</v>
      </c>
    </row>
    <row r="152" spans="1:29" ht="33.75" customHeight="1" x14ac:dyDescent="0.35">
      <c r="A152" s="4" t="s">
        <v>31</v>
      </c>
      <c r="B152" s="4">
        <v>26055472</v>
      </c>
      <c r="C152" s="4" t="s">
        <v>27</v>
      </c>
      <c r="D152" s="4" t="s">
        <v>91</v>
      </c>
      <c r="F152" s="7">
        <v>9999999</v>
      </c>
      <c r="G152" s="13">
        <v>2005.2</v>
      </c>
      <c r="H152" s="4" t="s">
        <v>182</v>
      </c>
      <c r="J152" s="1" t="s">
        <v>28</v>
      </c>
      <c r="K152" s="4">
        <v>1.44</v>
      </c>
      <c r="L152" s="4">
        <v>1739.1928</v>
      </c>
      <c r="M152" s="6">
        <v>18</v>
      </c>
      <c r="N152" s="6">
        <f t="shared" si="8"/>
        <v>450.79877376000002</v>
      </c>
      <c r="O152" s="1">
        <v>4</v>
      </c>
      <c r="P152" s="1">
        <f t="shared" si="10"/>
        <v>100.17750528000001</v>
      </c>
      <c r="Q152" s="6">
        <f t="shared" si="9"/>
        <v>2504.4376320000001</v>
      </c>
      <c r="X152" s="6">
        <f t="shared" si="11"/>
        <v>3055.4139110400001</v>
      </c>
      <c r="AB152" s="4" t="s">
        <v>234</v>
      </c>
      <c r="AC152" s="4" t="s">
        <v>232</v>
      </c>
    </row>
    <row r="153" spans="1:29" ht="33.75" customHeight="1" x14ac:dyDescent="0.35">
      <c r="A153" s="4" t="s">
        <v>31</v>
      </c>
      <c r="B153" s="4">
        <v>26055472</v>
      </c>
      <c r="C153" s="4" t="s">
        <v>27</v>
      </c>
      <c r="D153" s="4" t="s">
        <v>91</v>
      </c>
      <c r="F153" s="7">
        <v>9999999</v>
      </c>
      <c r="G153" s="13">
        <v>2005.2</v>
      </c>
      <c r="H153" s="4" t="s">
        <v>163</v>
      </c>
      <c r="J153" s="1" t="s">
        <v>28</v>
      </c>
      <c r="K153" s="4">
        <v>1.44</v>
      </c>
      <c r="L153" s="4">
        <v>1612.8676</v>
      </c>
      <c r="M153" s="6">
        <v>18</v>
      </c>
      <c r="N153" s="6">
        <f t="shared" si="8"/>
        <v>418.05528191999997</v>
      </c>
      <c r="O153" s="1">
        <v>4</v>
      </c>
      <c r="P153" s="1">
        <f t="shared" si="10"/>
        <v>92.901173760000006</v>
      </c>
      <c r="Q153" s="6">
        <f t="shared" si="9"/>
        <v>2322.529344</v>
      </c>
      <c r="X153" s="6">
        <f t="shared" si="11"/>
        <v>2833.4857996799997</v>
      </c>
      <c r="AB153" s="4" t="s">
        <v>234</v>
      </c>
      <c r="AC153" s="4" t="s">
        <v>232</v>
      </c>
    </row>
    <row r="154" spans="1:29" ht="33.75" customHeight="1" x14ac:dyDescent="0.35">
      <c r="A154" s="4" t="s">
        <v>31</v>
      </c>
      <c r="B154" s="4">
        <v>26055472</v>
      </c>
      <c r="C154" s="4" t="s">
        <v>27</v>
      </c>
      <c r="D154" s="4" t="s">
        <v>91</v>
      </c>
      <c r="F154" s="7">
        <v>9999999</v>
      </c>
      <c r="G154" s="6" t="s">
        <v>233</v>
      </c>
      <c r="H154" s="4" t="s">
        <v>185</v>
      </c>
      <c r="J154" s="1" t="s">
        <v>28</v>
      </c>
      <c r="K154" s="4">
        <v>0.86399999999999999</v>
      </c>
      <c r="L154" s="4">
        <v>878.38390000000004</v>
      </c>
      <c r="M154" s="6">
        <v>18</v>
      </c>
      <c r="N154" s="6">
        <f t="shared" si="8"/>
        <v>136.60626412799999</v>
      </c>
      <c r="O154" s="1">
        <v>4</v>
      </c>
      <c r="P154" s="1">
        <f t="shared" si="10"/>
        <v>30.356947584</v>
      </c>
      <c r="Q154" s="6">
        <f t="shared" si="9"/>
        <v>758.92368959999999</v>
      </c>
      <c r="X154" s="6">
        <f t="shared" si="11"/>
        <v>925.88690131199996</v>
      </c>
      <c r="AB154" s="4" t="s">
        <v>234</v>
      </c>
      <c r="AC154" s="4" t="s">
        <v>232</v>
      </c>
    </row>
    <row r="155" spans="1:29" ht="33.75" customHeight="1" x14ac:dyDescent="0.35">
      <c r="A155" s="4" t="s">
        <v>31</v>
      </c>
      <c r="B155" s="4">
        <v>26055473</v>
      </c>
      <c r="C155" s="4" t="s">
        <v>27</v>
      </c>
      <c r="D155" s="4" t="s">
        <v>92</v>
      </c>
      <c r="F155" s="7">
        <v>9999999</v>
      </c>
      <c r="G155" s="6" t="s">
        <v>233</v>
      </c>
      <c r="H155" s="4" t="s">
        <v>202</v>
      </c>
      <c r="J155" s="1" t="s">
        <v>28</v>
      </c>
      <c r="K155" s="4">
        <v>0.84</v>
      </c>
      <c r="L155" s="4">
        <v>920.95799999999997</v>
      </c>
      <c r="M155" s="6">
        <v>18</v>
      </c>
      <c r="N155" s="6">
        <f t="shared" si="8"/>
        <v>139.24884959999997</v>
      </c>
      <c r="O155" s="1">
        <v>4</v>
      </c>
      <c r="P155" s="1">
        <f t="shared" si="10"/>
        <v>30.944188799999996</v>
      </c>
      <c r="Q155" s="6">
        <f t="shared" si="9"/>
        <v>773.60471999999993</v>
      </c>
      <c r="X155" s="6">
        <f t="shared" si="11"/>
        <v>943.79775839999991</v>
      </c>
      <c r="AB155" s="4" t="s">
        <v>234</v>
      </c>
      <c r="AC155" s="4" t="s">
        <v>232</v>
      </c>
    </row>
    <row r="156" spans="1:29" ht="33.75" customHeight="1" x14ac:dyDescent="0.35">
      <c r="A156" s="4" t="s">
        <v>31</v>
      </c>
      <c r="B156" s="4">
        <v>26055474</v>
      </c>
      <c r="C156" s="4" t="s">
        <v>27</v>
      </c>
      <c r="D156" s="4" t="s">
        <v>93</v>
      </c>
      <c r="F156" s="7">
        <v>9999999</v>
      </c>
      <c r="G156" s="13">
        <v>2005.2</v>
      </c>
      <c r="H156" s="4" t="s">
        <v>163</v>
      </c>
      <c r="J156" s="1" t="s">
        <v>28</v>
      </c>
      <c r="K156" s="4">
        <v>0.72</v>
      </c>
      <c r="L156" s="4">
        <v>840.03520000000003</v>
      </c>
      <c r="M156" s="6">
        <v>18</v>
      </c>
      <c r="N156" s="6">
        <f t="shared" si="8"/>
        <v>108.86856191999999</v>
      </c>
      <c r="O156" s="1">
        <v>4</v>
      </c>
      <c r="P156" s="1">
        <f t="shared" si="10"/>
        <v>24.193013759999999</v>
      </c>
      <c r="Q156" s="6">
        <f t="shared" si="9"/>
        <v>604.82534399999997</v>
      </c>
      <c r="X156" s="6">
        <f t="shared" si="11"/>
        <v>737.88691967999989</v>
      </c>
      <c r="AB156" s="4" t="s">
        <v>234</v>
      </c>
      <c r="AC156" s="4" t="s">
        <v>232</v>
      </c>
    </row>
    <row r="157" spans="1:29" ht="33.75" customHeight="1" x14ac:dyDescent="0.35">
      <c r="A157" s="4" t="s">
        <v>31</v>
      </c>
      <c r="B157" s="4">
        <v>26055474</v>
      </c>
      <c r="C157" s="4" t="s">
        <v>27</v>
      </c>
      <c r="D157" s="4" t="s">
        <v>93</v>
      </c>
      <c r="F157" s="7">
        <v>9999999</v>
      </c>
      <c r="G157" s="6" t="s">
        <v>233</v>
      </c>
      <c r="H157" s="4" t="s">
        <v>186</v>
      </c>
      <c r="J157" s="1" t="s">
        <v>28</v>
      </c>
      <c r="K157" s="4">
        <v>1.0880000000000001</v>
      </c>
      <c r="L157" s="4">
        <v>977.74720000000002</v>
      </c>
      <c r="M157" s="6">
        <v>18</v>
      </c>
      <c r="N157" s="6">
        <f t="shared" si="8"/>
        <v>191.482011648</v>
      </c>
      <c r="O157" s="1">
        <v>4</v>
      </c>
      <c r="P157" s="1">
        <f t="shared" si="10"/>
        <v>42.551558143999998</v>
      </c>
      <c r="Q157" s="6">
        <f t="shared" si="9"/>
        <v>1063.7889536</v>
      </c>
      <c r="X157" s="6">
        <f t="shared" si="11"/>
        <v>1297.822523392</v>
      </c>
      <c r="AB157" s="4" t="s">
        <v>234</v>
      </c>
      <c r="AC157" s="4" t="s">
        <v>232</v>
      </c>
    </row>
    <row r="158" spans="1:29" ht="33.75" customHeight="1" x14ac:dyDescent="0.35">
      <c r="A158" s="4" t="s">
        <v>31</v>
      </c>
      <c r="B158" s="4">
        <v>26055475</v>
      </c>
      <c r="C158" s="4" t="s">
        <v>27</v>
      </c>
      <c r="D158" s="4" t="s">
        <v>94</v>
      </c>
      <c r="F158" s="7">
        <v>9999999</v>
      </c>
      <c r="G158" s="13">
        <v>2005.2</v>
      </c>
      <c r="H158" s="4" t="s">
        <v>216</v>
      </c>
      <c r="J158" s="1" t="s">
        <v>28</v>
      </c>
      <c r="K158" s="4">
        <v>0.88</v>
      </c>
      <c r="L158" s="4">
        <v>1199.9903999999999</v>
      </c>
      <c r="M158" s="6">
        <v>18</v>
      </c>
      <c r="N158" s="6">
        <f t="shared" si="8"/>
        <v>190.07847935999999</v>
      </c>
      <c r="O158" s="1">
        <v>4</v>
      </c>
      <c r="P158" s="1">
        <f t="shared" si="10"/>
        <v>42.239662079999995</v>
      </c>
      <c r="Q158" s="6">
        <f t="shared" si="9"/>
        <v>1055.991552</v>
      </c>
      <c r="X158" s="6">
        <f t="shared" si="11"/>
        <v>1288.30969344</v>
      </c>
      <c r="AB158" s="4" t="s">
        <v>234</v>
      </c>
      <c r="AC158" s="4" t="s">
        <v>232</v>
      </c>
    </row>
    <row r="159" spans="1:29" ht="33.75" customHeight="1" x14ac:dyDescent="0.35">
      <c r="A159" s="4" t="s">
        <v>31</v>
      </c>
      <c r="B159" s="4">
        <v>26055475</v>
      </c>
      <c r="C159" s="4" t="s">
        <v>27</v>
      </c>
      <c r="D159" s="4" t="s">
        <v>94</v>
      </c>
      <c r="F159" s="7">
        <v>9999999</v>
      </c>
      <c r="G159" s="13">
        <v>2005.2</v>
      </c>
      <c r="H159" s="4" t="s">
        <v>182</v>
      </c>
      <c r="J159" s="1" t="s">
        <v>28</v>
      </c>
      <c r="K159" s="4">
        <v>0.72</v>
      </c>
      <c r="L159" s="4">
        <v>887.71299999999997</v>
      </c>
      <c r="M159" s="6">
        <v>18</v>
      </c>
      <c r="N159" s="6">
        <f t="shared" si="8"/>
        <v>115.04760479999997</v>
      </c>
      <c r="O159" s="1">
        <v>4</v>
      </c>
      <c r="P159" s="1">
        <f t="shared" si="10"/>
        <v>25.566134399999996</v>
      </c>
      <c r="Q159" s="6">
        <f t="shared" si="9"/>
        <v>639.15335999999991</v>
      </c>
      <c r="X159" s="6">
        <f t="shared" si="11"/>
        <v>779.76709919999985</v>
      </c>
      <c r="AB159" s="4" t="s">
        <v>234</v>
      </c>
      <c r="AC159" s="4" t="s">
        <v>232</v>
      </c>
    </row>
    <row r="160" spans="1:29" ht="33.75" customHeight="1" x14ac:dyDescent="0.35">
      <c r="A160" s="4" t="s">
        <v>31</v>
      </c>
      <c r="B160" s="4">
        <v>26055475</v>
      </c>
      <c r="C160" s="4" t="s">
        <v>27</v>
      </c>
      <c r="D160" s="4" t="s">
        <v>94</v>
      </c>
      <c r="F160" s="7">
        <v>9999999</v>
      </c>
      <c r="G160" s="6" t="s">
        <v>233</v>
      </c>
      <c r="H160" s="4" t="s">
        <v>200</v>
      </c>
      <c r="J160" s="1" t="s">
        <v>28</v>
      </c>
      <c r="K160" s="4">
        <v>1.1200000000000001</v>
      </c>
      <c r="L160" s="4">
        <v>898.12689999999998</v>
      </c>
      <c r="M160" s="6">
        <v>18</v>
      </c>
      <c r="N160" s="6">
        <f t="shared" si="8"/>
        <v>181.06238304000001</v>
      </c>
      <c r="O160" s="1">
        <v>4</v>
      </c>
      <c r="P160" s="1">
        <f t="shared" si="10"/>
        <v>40.236085120000006</v>
      </c>
      <c r="Q160" s="6">
        <f t="shared" si="9"/>
        <v>1005.9021280000001</v>
      </c>
      <c r="X160" s="6">
        <f t="shared" si="11"/>
        <v>1227.2005961600003</v>
      </c>
      <c r="AB160" s="4" t="s">
        <v>234</v>
      </c>
      <c r="AC160" s="4" t="s">
        <v>232</v>
      </c>
    </row>
    <row r="161" spans="1:29" ht="33.75" customHeight="1" x14ac:dyDescent="0.35">
      <c r="A161" s="4" t="s">
        <v>31</v>
      </c>
      <c r="B161" s="4">
        <v>26055475</v>
      </c>
      <c r="C161" s="4" t="s">
        <v>27</v>
      </c>
      <c r="D161" s="4" t="s">
        <v>94</v>
      </c>
      <c r="F161" s="7">
        <v>9999999</v>
      </c>
      <c r="G161" s="13">
        <v>2005.2</v>
      </c>
      <c r="H161" s="4" t="s">
        <v>188</v>
      </c>
      <c r="J161" s="1" t="s">
        <v>28</v>
      </c>
      <c r="K161" s="4">
        <v>0.69599999999999995</v>
      </c>
      <c r="L161" s="4">
        <v>887.71299999999997</v>
      </c>
      <c r="M161" s="6">
        <v>18</v>
      </c>
      <c r="N161" s="6">
        <f t="shared" si="8"/>
        <v>111.21268463999998</v>
      </c>
      <c r="O161" s="1">
        <v>4</v>
      </c>
      <c r="P161" s="1">
        <f t="shared" si="10"/>
        <v>24.713929919999995</v>
      </c>
      <c r="Q161" s="6">
        <f t="shared" si="9"/>
        <v>617.8482479999999</v>
      </c>
      <c r="X161" s="6">
        <f t="shared" si="11"/>
        <v>753.77486255999986</v>
      </c>
      <c r="AB161" s="4" t="s">
        <v>234</v>
      </c>
      <c r="AC161" s="4" t="s">
        <v>232</v>
      </c>
    </row>
    <row r="162" spans="1:29" ht="33.75" customHeight="1" x14ac:dyDescent="0.35">
      <c r="A162" s="4" t="s">
        <v>31</v>
      </c>
      <c r="B162" s="4">
        <v>26055476</v>
      </c>
      <c r="C162" s="4" t="s">
        <v>27</v>
      </c>
      <c r="D162" s="4" t="s">
        <v>95</v>
      </c>
      <c r="F162" s="7">
        <v>9999999</v>
      </c>
      <c r="G162" s="13">
        <v>2005.2</v>
      </c>
      <c r="H162" s="4" t="s">
        <v>216</v>
      </c>
      <c r="J162" s="1" t="s">
        <v>28</v>
      </c>
      <c r="K162" s="4">
        <v>1.0999999999999999E-2</v>
      </c>
      <c r="L162" s="4">
        <v>15.305999999999999</v>
      </c>
      <c r="M162" s="6">
        <v>18</v>
      </c>
      <c r="N162" s="6">
        <f t="shared" si="8"/>
        <v>3.0305879999999997E-2</v>
      </c>
      <c r="O162" s="1">
        <v>4</v>
      </c>
      <c r="P162" s="1">
        <f t="shared" si="10"/>
        <v>6.7346399999999992E-3</v>
      </c>
      <c r="Q162" s="6">
        <f t="shared" si="9"/>
        <v>0.16836599999999999</v>
      </c>
      <c r="X162" s="6">
        <f t="shared" si="11"/>
        <v>0.20540651999999998</v>
      </c>
      <c r="AB162" s="4" t="s">
        <v>234</v>
      </c>
      <c r="AC162" s="4" t="s">
        <v>232</v>
      </c>
    </row>
    <row r="163" spans="1:29" ht="33.75" customHeight="1" x14ac:dyDescent="0.35">
      <c r="A163" s="4" t="s">
        <v>31</v>
      </c>
      <c r="B163" s="4">
        <v>26055477</v>
      </c>
      <c r="C163" s="4" t="s">
        <v>27</v>
      </c>
      <c r="D163" s="4" t="s">
        <v>96</v>
      </c>
      <c r="F163" s="7">
        <v>9999999</v>
      </c>
      <c r="G163" s="13">
        <v>2005.2</v>
      </c>
      <c r="H163" s="4" t="s">
        <v>216</v>
      </c>
      <c r="J163" s="1" t="s">
        <v>28</v>
      </c>
      <c r="K163" s="4">
        <v>1.0999999999999999E-2</v>
      </c>
      <c r="L163" s="4">
        <v>14.6938</v>
      </c>
      <c r="M163" s="6">
        <v>18</v>
      </c>
      <c r="N163" s="6">
        <f t="shared" si="8"/>
        <v>2.9093723999999998E-2</v>
      </c>
      <c r="O163" s="1">
        <v>4</v>
      </c>
      <c r="P163" s="1">
        <f t="shared" si="10"/>
        <v>6.4652719999999993E-3</v>
      </c>
      <c r="Q163" s="6">
        <f t="shared" si="9"/>
        <v>0.16163179999999999</v>
      </c>
      <c r="X163" s="6">
        <f t="shared" si="11"/>
        <v>0.19719079599999997</v>
      </c>
      <c r="AB163" s="4" t="s">
        <v>234</v>
      </c>
      <c r="AC163" s="4" t="s">
        <v>232</v>
      </c>
    </row>
    <row r="164" spans="1:29" ht="33.75" customHeight="1" x14ac:dyDescent="0.35">
      <c r="A164" s="4" t="s">
        <v>31</v>
      </c>
      <c r="B164" s="4">
        <v>26055478</v>
      </c>
      <c r="C164" s="4" t="s">
        <v>27</v>
      </c>
      <c r="D164" s="4" t="s">
        <v>97</v>
      </c>
      <c r="F164" s="8">
        <v>3710582025497</v>
      </c>
      <c r="G164" s="13">
        <v>2005.2</v>
      </c>
      <c r="H164" s="4" t="s">
        <v>210</v>
      </c>
      <c r="J164" s="1" t="s">
        <v>28</v>
      </c>
      <c r="K164" s="4">
        <v>0.86399999999999999</v>
      </c>
      <c r="L164" s="4">
        <v>903.80039999999997</v>
      </c>
      <c r="M164" s="6">
        <v>18</v>
      </c>
      <c r="N164" s="6">
        <f t="shared" si="8"/>
        <v>140.55903820799998</v>
      </c>
      <c r="O164" s="1">
        <v>4</v>
      </c>
      <c r="P164" s="1">
        <f t="shared" si="10"/>
        <v>31.235341823999999</v>
      </c>
      <c r="Q164" s="6">
        <f t="shared" si="9"/>
        <v>780.88354559999993</v>
      </c>
      <c r="X164" s="6">
        <f t="shared" si="11"/>
        <v>952.67792563199987</v>
      </c>
      <c r="AB164" s="4" t="s">
        <v>234</v>
      </c>
      <c r="AC164" s="4" t="s">
        <v>232</v>
      </c>
    </row>
    <row r="165" spans="1:29" ht="33.75" customHeight="1" x14ac:dyDescent="0.35">
      <c r="A165" s="4" t="s">
        <v>31</v>
      </c>
      <c r="B165" s="4">
        <v>26055478</v>
      </c>
      <c r="C165" s="4" t="s">
        <v>27</v>
      </c>
      <c r="D165" s="4" t="s">
        <v>97</v>
      </c>
      <c r="F165" s="8">
        <v>3710582025497</v>
      </c>
      <c r="G165" s="13">
        <v>2005.2</v>
      </c>
      <c r="H165" s="4" t="s">
        <v>217</v>
      </c>
      <c r="J165" s="1" t="s">
        <v>28</v>
      </c>
      <c r="K165" s="4">
        <v>0.86399999999999999</v>
      </c>
      <c r="L165" s="4">
        <v>903.80039999999997</v>
      </c>
      <c r="M165" s="6">
        <v>18</v>
      </c>
      <c r="N165" s="6">
        <f t="shared" si="8"/>
        <v>140.55903820799998</v>
      </c>
      <c r="O165" s="1">
        <v>4</v>
      </c>
      <c r="P165" s="1">
        <f t="shared" si="10"/>
        <v>31.235341823999999</v>
      </c>
      <c r="Q165" s="6">
        <f t="shared" si="9"/>
        <v>780.88354559999993</v>
      </c>
      <c r="X165" s="6">
        <f t="shared" si="11"/>
        <v>952.67792563199987</v>
      </c>
      <c r="AB165" s="4" t="s">
        <v>234</v>
      </c>
      <c r="AC165" s="4" t="s">
        <v>232</v>
      </c>
    </row>
    <row r="166" spans="1:29" ht="33.75" customHeight="1" x14ac:dyDescent="0.35">
      <c r="A166" s="4" t="s">
        <v>31</v>
      </c>
      <c r="B166" s="4">
        <v>26055478</v>
      </c>
      <c r="C166" s="4" t="s">
        <v>27</v>
      </c>
      <c r="D166" s="4" t="s">
        <v>97</v>
      </c>
      <c r="F166" s="8">
        <v>3710582025497</v>
      </c>
      <c r="G166" s="13">
        <v>2005.2</v>
      </c>
      <c r="H166" s="4" t="s">
        <v>212</v>
      </c>
      <c r="J166" s="1" t="s">
        <v>28</v>
      </c>
      <c r="K166" s="4">
        <v>1.0999999999999999E-2</v>
      </c>
      <c r="L166" s="4">
        <v>15.305999999999999</v>
      </c>
      <c r="M166" s="6">
        <v>18</v>
      </c>
      <c r="N166" s="6">
        <f t="shared" si="8"/>
        <v>3.0305879999999997E-2</v>
      </c>
      <c r="O166" s="1">
        <v>4</v>
      </c>
      <c r="P166" s="1">
        <f t="shared" si="10"/>
        <v>6.7346399999999992E-3</v>
      </c>
      <c r="Q166" s="6">
        <f t="shared" si="9"/>
        <v>0.16836599999999999</v>
      </c>
      <c r="X166" s="6">
        <f t="shared" si="11"/>
        <v>0.20540651999999998</v>
      </c>
      <c r="AB166" s="4" t="s">
        <v>234</v>
      </c>
      <c r="AC166" s="4" t="s">
        <v>232</v>
      </c>
    </row>
    <row r="167" spans="1:29" ht="33.75" customHeight="1" x14ac:dyDescent="0.35">
      <c r="A167" s="4" t="s">
        <v>31</v>
      </c>
      <c r="B167" s="4">
        <v>26055478</v>
      </c>
      <c r="C167" s="4" t="s">
        <v>27</v>
      </c>
      <c r="D167" s="4" t="s">
        <v>97</v>
      </c>
      <c r="F167" s="8">
        <v>3710582025497</v>
      </c>
      <c r="G167" s="13">
        <v>2005.2</v>
      </c>
      <c r="H167" s="4" t="s">
        <v>165</v>
      </c>
      <c r="J167" s="1" t="s">
        <v>28</v>
      </c>
      <c r="K167" s="4">
        <v>0.72</v>
      </c>
      <c r="L167" s="4">
        <v>840.03520000000003</v>
      </c>
      <c r="M167" s="6">
        <v>18</v>
      </c>
      <c r="N167" s="6">
        <f t="shared" si="8"/>
        <v>108.86856191999999</v>
      </c>
      <c r="O167" s="1">
        <v>4</v>
      </c>
      <c r="P167" s="1">
        <f t="shared" si="10"/>
        <v>24.193013759999999</v>
      </c>
      <c r="Q167" s="6">
        <f t="shared" si="9"/>
        <v>604.82534399999997</v>
      </c>
      <c r="X167" s="6">
        <f t="shared" si="11"/>
        <v>737.88691967999989</v>
      </c>
      <c r="AB167" s="4" t="s">
        <v>234</v>
      </c>
      <c r="AC167" s="4" t="s">
        <v>232</v>
      </c>
    </row>
    <row r="168" spans="1:29" ht="33.75" customHeight="1" x14ac:dyDescent="0.35">
      <c r="A168" s="4" t="s">
        <v>31</v>
      </c>
      <c r="B168" s="4">
        <v>26055478</v>
      </c>
      <c r="C168" s="4" t="s">
        <v>27</v>
      </c>
      <c r="D168" s="4" t="s">
        <v>97</v>
      </c>
      <c r="F168" s="8">
        <v>3710582025497</v>
      </c>
      <c r="G168" s="6" t="s">
        <v>233</v>
      </c>
      <c r="H168" s="4" t="s">
        <v>193</v>
      </c>
      <c r="J168" s="1" t="s">
        <v>28</v>
      </c>
      <c r="K168" s="4">
        <v>0.86399999999999999</v>
      </c>
      <c r="L168" s="4">
        <v>914.98320000000001</v>
      </c>
      <c r="M168" s="6">
        <v>18</v>
      </c>
      <c r="N168" s="6">
        <f t="shared" si="8"/>
        <v>142.29818726400001</v>
      </c>
      <c r="O168" s="1">
        <v>4</v>
      </c>
      <c r="P168" s="1">
        <f t="shared" si="10"/>
        <v>31.621819392000003</v>
      </c>
      <c r="Q168" s="6">
        <f t="shared" si="9"/>
        <v>790.54548480000005</v>
      </c>
      <c r="X168" s="6">
        <f t="shared" si="11"/>
        <v>964.46549145600011</v>
      </c>
      <c r="AB168" s="4" t="s">
        <v>234</v>
      </c>
      <c r="AC168" s="4" t="s">
        <v>232</v>
      </c>
    </row>
    <row r="169" spans="1:29" ht="33.75" customHeight="1" x14ac:dyDescent="0.35">
      <c r="A169" s="4" t="s">
        <v>31</v>
      </c>
      <c r="B169" s="4">
        <v>26055478</v>
      </c>
      <c r="C169" s="4" t="s">
        <v>27</v>
      </c>
      <c r="D169" s="4" t="s">
        <v>97</v>
      </c>
      <c r="F169" s="8">
        <v>3710582025497</v>
      </c>
      <c r="G169" s="6" t="s">
        <v>233</v>
      </c>
      <c r="H169" s="4" t="s">
        <v>218</v>
      </c>
      <c r="J169" s="1" t="s">
        <v>28</v>
      </c>
      <c r="K169" s="4">
        <v>0.496</v>
      </c>
      <c r="L169" s="4">
        <v>609.36479999999995</v>
      </c>
      <c r="M169" s="6">
        <v>18</v>
      </c>
      <c r="N169" s="6">
        <f t="shared" si="8"/>
        <v>54.404089343999999</v>
      </c>
      <c r="O169" s="1">
        <v>4</v>
      </c>
      <c r="P169" s="1">
        <f t="shared" si="10"/>
        <v>12.089797632</v>
      </c>
      <c r="Q169" s="6">
        <f t="shared" si="9"/>
        <v>302.24494079999999</v>
      </c>
      <c r="X169" s="6">
        <f t="shared" si="11"/>
        <v>368.73882777599999</v>
      </c>
      <c r="AB169" s="4" t="s">
        <v>234</v>
      </c>
      <c r="AC169" s="4" t="s">
        <v>232</v>
      </c>
    </row>
    <row r="170" spans="1:29" ht="33.75" customHeight="1" x14ac:dyDescent="0.35">
      <c r="A170" s="4" t="s">
        <v>31</v>
      </c>
      <c r="B170" s="4">
        <v>26055478</v>
      </c>
      <c r="C170" s="4" t="s">
        <v>27</v>
      </c>
      <c r="D170" s="4" t="s">
        <v>97</v>
      </c>
      <c r="F170" s="8">
        <v>3710582025497</v>
      </c>
      <c r="G170" s="6" t="s">
        <v>233</v>
      </c>
      <c r="H170" s="4" t="s">
        <v>219</v>
      </c>
      <c r="J170" s="1" t="s">
        <v>28</v>
      </c>
      <c r="K170" s="4">
        <v>0.64800000000000002</v>
      </c>
      <c r="L170" s="4">
        <v>824.94359999999995</v>
      </c>
      <c r="M170" s="6">
        <v>18</v>
      </c>
      <c r="N170" s="6">
        <f t="shared" si="8"/>
        <v>96.221421503999991</v>
      </c>
      <c r="O170" s="1">
        <v>4</v>
      </c>
      <c r="P170" s="1">
        <f t="shared" si="10"/>
        <v>21.382538111999999</v>
      </c>
      <c r="Q170" s="6">
        <f t="shared" si="9"/>
        <v>534.56345279999994</v>
      </c>
      <c r="X170" s="6">
        <f t="shared" si="11"/>
        <v>652.16741241599993</v>
      </c>
      <c r="AB170" s="4" t="s">
        <v>234</v>
      </c>
      <c r="AC170" s="4" t="s">
        <v>232</v>
      </c>
    </row>
    <row r="171" spans="1:29" ht="33.75" customHeight="1" x14ac:dyDescent="0.35">
      <c r="A171" s="4" t="s">
        <v>31</v>
      </c>
      <c r="B171" s="4">
        <v>26055479</v>
      </c>
      <c r="C171" s="4" t="s">
        <v>27</v>
      </c>
      <c r="D171" s="4" t="s">
        <v>97</v>
      </c>
      <c r="F171" s="8">
        <v>3710582025497</v>
      </c>
      <c r="G171" s="13">
        <v>2005.2</v>
      </c>
      <c r="H171" s="4" t="s">
        <v>212</v>
      </c>
      <c r="J171" s="1" t="s">
        <v>28</v>
      </c>
      <c r="K171" s="4">
        <v>1.0999999999999999E-2</v>
      </c>
      <c r="L171" s="4">
        <v>15.305999999999999</v>
      </c>
      <c r="M171" s="6">
        <v>18</v>
      </c>
      <c r="N171" s="6">
        <f t="shared" si="8"/>
        <v>3.0305879999999997E-2</v>
      </c>
      <c r="O171" s="1">
        <v>4</v>
      </c>
      <c r="P171" s="1">
        <f t="shared" si="10"/>
        <v>6.7346399999999992E-3</v>
      </c>
      <c r="Q171" s="6">
        <f t="shared" si="9"/>
        <v>0.16836599999999999</v>
      </c>
      <c r="X171" s="6">
        <f t="shared" si="11"/>
        <v>0.20540651999999998</v>
      </c>
      <c r="AB171" s="4" t="s">
        <v>234</v>
      </c>
      <c r="AC171" s="4" t="s">
        <v>232</v>
      </c>
    </row>
    <row r="172" spans="1:29" ht="33.75" customHeight="1" x14ac:dyDescent="0.35">
      <c r="A172" s="4" t="s">
        <v>31</v>
      </c>
      <c r="B172" s="4">
        <v>26055480</v>
      </c>
      <c r="C172" s="4" t="s">
        <v>27</v>
      </c>
      <c r="D172" s="4" t="s">
        <v>98</v>
      </c>
      <c r="F172" s="7">
        <v>9999999</v>
      </c>
      <c r="G172" s="13">
        <v>2005.2</v>
      </c>
      <c r="H172" s="4" t="s">
        <v>216</v>
      </c>
      <c r="J172" s="1" t="s">
        <v>28</v>
      </c>
      <c r="K172" s="4">
        <v>1.0999999999999999E-2</v>
      </c>
      <c r="L172" s="4">
        <v>14.6938</v>
      </c>
      <c r="M172" s="6">
        <v>18</v>
      </c>
      <c r="N172" s="6">
        <f t="shared" si="8"/>
        <v>2.9093723999999998E-2</v>
      </c>
      <c r="O172" s="1">
        <v>4</v>
      </c>
      <c r="P172" s="1">
        <f t="shared" si="10"/>
        <v>6.4652719999999993E-3</v>
      </c>
      <c r="Q172" s="6">
        <f t="shared" si="9"/>
        <v>0.16163179999999999</v>
      </c>
      <c r="X172" s="6">
        <f t="shared" si="11"/>
        <v>0.19719079599999997</v>
      </c>
      <c r="AB172" s="4" t="s">
        <v>234</v>
      </c>
      <c r="AC172" s="4" t="s">
        <v>232</v>
      </c>
    </row>
    <row r="173" spans="1:29" ht="33.75" customHeight="1" x14ac:dyDescent="0.35">
      <c r="A173" s="4" t="s">
        <v>31</v>
      </c>
      <c r="B173" s="4">
        <v>26055481</v>
      </c>
      <c r="C173" s="4" t="s">
        <v>27</v>
      </c>
      <c r="D173" s="4" t="s">
        <v>99</v>
      </c>
      <c r="F173" s="7">
        <v>9999999</v>
      </c>
      <c r="G173" s="13">
        <v>2005.2</v>
      </c>
      <c r="H173" s="4" t="s">
        <v>216</v>
      </c>
      <c r="J173" s="1" t="s">
        <v>28</v>
      </c>
      <c r="K173" s="4">
        <v>1.0999999999999999E-2</v>
      </c>
      <c r="L173" s="4">
        <v>15.305999999999999</v>
      </c>
      <c r="M173" s="6">
        <v>18</v>
      </c>
      <c r="N173" s="6">
        <f t="shared" si="8"/>
        <v>3.0305879999999997E-2</v>
      </c>
      <c r="O173" s="1">
        <v>4</v>
      </c>
      <c r="P173" s="1">
        <f t="shared" si="10"/>
        <v>6.7346399999999992E-3</v>
      </c>
      <c r="Q173" s="6">
        <f t="shared" si="9"/>
        <v>0.16836599999999999</v>
      </c>
      <c r="X173" s="6">
        <f t="shared" si="11"/>
        <v>0.20540651999999998</v>
      </c>
      <c r="AB173" s="4" t="s">
        <v>234</v>
      </c>
      <c r="AC173" s="4" t="s">
        <v>232</v>
      </c>
    </row>
    <row r="174" spans="1:29" ht="33.75" customHeight="1" x14ac:dyDescent="0.35">
      <c r="A174" s="4" t="s">
        <v>31</v>
      </c>
      <c r="B174" s="4">
        <v>26055482</v>
      </c>
      <c r="C174" s="4" t="s">
        <v>27</v>
      </c>
      <c r="D174" s="4" t="s">
        <v>100</v>
      </c>
      <c r="F174" s="7">
        <v>9999999</v>
      </c>
      <c r="G174" s="13">
        <v>2005.2</v>
      </c>
      <c r="H174" s="4" t="s">
        <v>216</v>
      </c>
      <c r="J174" s="1" t="s">
        <v>28</v>
      </c>
      <c r="K174" s="4">
        <v>1.0999999999999999E-2</v>
      </c>
      <c r="L174" s="4">
        <v>14.8468</v>
      </c>
      <c r="M174" s="6">
        <v>18</v>
      </c>
      <c r="N174" s="6">
        <f t="shared" si="8"/>
        <v>2.9396663999999996E-2</v>
      </c>
      <c r="O174" s="1">
        <v>4</v>
      </c>
      <c r="P174" s="1">
        <f t="shared" si="10"/>
        <v>6.5325919999999994E-3</v>
      </c>
      <c r="Q174" s="6">
        <f t="shared" si="9"/>
        <v>0.16331479999999998</v>
      </c>
      <c r="X174" s="6">
        <f t="shared" si="11"/>
        <v>0.19924405599999997</v>
      </c>
      <c r="AB174" s="4" t="s">
        <v>234</v>
      </c>
      <c r="AC174" s="4" t="s">
        <v>232</v>
      </c>
    </row>
    <row r="175" spans="1:29" ht="33.75" customHeight="1" x14ac:dyDescent="0.35">
      <c r="A175" s="4" t="s">
        <v>31</v>
      </c>
      <c r="B175" s="4">
        <v>26055483</v>
      </c>
      <c r="C175" s="4" t="s">
        <v>27</v>
      </c>
      <c r="D175" s="4" t="s">
        <v>101</v>
      </c>
      <c r="F175" s="7">
        <v>9999999</v>
      </c>
      <c r="G175" s="13">
        <v>2005.2</v>
      </c>
      <c r="H175" s="4" t="s">
        <v>216</v>
      </c>
      <c r="J175" s="1" t="s">
        <v>28</v>
      </c>
      <c r="K175" s="4">
        <v>1.0999999999999999E-2</v>
      </c>
      <c r="L175" s="4">
        <v>14.9999</v>
      </c>
      <c r="M175" s="6">
        <v>18</v>
      </c>
      <c r="N175" s="6">
        <f t="shared" si="8"/>
        <v>2.9699802000000001E-2</v>
      </c>
      <c r="O175" s="1">
        <v>4</v>
      </c>
      <c r="P175" s="1">
        <f t="shared" si="10"/>
        <v>6.5999560000000006E-3</v>
      </c>
      <c r="Q175" s="6">
        <f t="shared" si="9"/>
        <v>0.1649989</v>
      </c>
      <c r="X175" s="6">
        <f t="shared" si="11"/>
        <v>0.20129865799999999</v>
      </c>
      <c r="AB175" s="4" t="s">
        <v>234</v>
      </c>
      <c r="AC175" s="4" t="s">
        <v>232</v>
      </c>
    </row>
    <row r="176" spans="1:29" ht="33.75" customHeight="1" x14ac:dyDescent="0.35">
      <c r="A176" s="4" t="s">
        <v>31</v>
      </c>
      <c r="B176" s="4">
        <v>26055484</v>
      </c>
      <c r="C176" s="4" t="s">
        <v>27</v>
      </c>
      <c r="D176" s="4" t="s">
        <v>102</v>
      </c>
      <c r="F176" s="8" t="s">
        <v>161</v>
      </c>
      <c r="G176" s="13">
        <v>2005.2</v>
      </c>
      <c r="H176" s="4" t="s">
        <v>212</v>
      </c>
      <c r="J176" s="1" t="s">
        <v>28</v>
      </c>
      <c r="K176" s="4">
        <v>1.0999999999999999E-2</v>
      </c>
      <c r="L176" s="4">
        <v>15.305999999999999</v>
      </c>
      <c r="M176" s="6">
        <v>18</v>
      </c>
      <c r="N176" s="6">
        <f t="shared" si="8"/>
        <v>3.0305879999999997E-2</v>
      </c>
      <c r="O176" s="1">
        <v>4</v>
      </c>
      <c r="P176" s="1">
        <f t="shared" si="10"/>
        <v>6.7346399999999992E-3</v>
      </c>
      <c r="Q176" s="6">
        <f t="shared" si="9"/>
        <v>0.16836599999999999</v>
      </c>
      <c r="X176" s="6">
        <f t="shared" si="11"/>
        <v>0.20540651999999998</v>
      </c>
      <c r="AB176" s="4" t="s">
        <v>234</v>
      </c>
      <c r="AC176" s="4" t="s">
        <v>232</v>
      </c>
    </row>
    <row r="177" spans="1:29" ht="33.75" customHeight="1" x14ac:dyDescent="0.35">
      <c r="A177" s="4" t="s">
        <v>31</v>
      </c>
      <c r="B177" s="4">
        <v>26055485</v>
      </c>
      <c r="C177" s="4" t="s">
        <v>27</v>
      </c>
      <c r="D177" s="4" t="s">
        <v>103</v>
      </c>
      <c r="F177" s="7">
        <v>9999999</v>
      </c>
      <c r="G177" s="13">
        <v>2005.2</v>
      </c>
      <c r="H177" s="4" t="s">
        <v>216</v>
      </c>
      <c r="J177" s="1" t="s">
        <v>28</v>
      </c>
      <c r="K177" s="4">
        <v>1.0999999999999999E-2</v>
      </c>
      <c r="L177" s="4">
        <v>15.305999999999999</v>
      </c>
      <c r="M177" s="6">
        <v>18</v>
      </c>
      <c r="N177" s="6">
        <f t="shared" si="8"/>
        <v>3.0305879999999997E-2</v>
      </c>
      <c r="O177" s="1">
        <v>4</v>
      </c>
      <c r="P177" s="1">
        <f t="shared" si="10"/>
        <v>6.7346399999999992E-3</v>
      </c>
      <c r="Q177" s="6">
        <f t="shared" si="9"/>
        <v>0.16836599999999999</v>
      </c>
      <c r="X177" s="6">
        <f t="shared" si="11"/>
        <v>0.20540651999999998</v>
      </c>
      <c r="AB177" s="4" t="s">
        <v>234</v>
      </c>
      <c r="AC177" s="4" t="s">
        <v>232</v>
      </c>
    </row>
    <row r="178" spans="1:29" ht="33.75" customHeight="1" x14ac:dyDescent="0.35">
      <c r="A178" s="4" t="s">
        <v>31</v>
      </c>
      <c r="B178" s="4">
        <v>26055486</v>
      </c>
      <c r="C178" s="4" t="s">
        <v>27</v>
      </c>
      <c r="D178" s="4" t="s">
        <v>104</v>
      </c>
      <c r="F178" s="7">
        <v>9999999</v>
      </c>
      <c r="G178" s="13">
        <v>2005.2</v>
      </c>
      <c r="H178" s="4" t="s">
        <v>216</v>
      </c>
      <c r="J178" s="1" t="s">
        <v>28</v>
      </c>
      <c r="K178" s="4">
        <v>1.0999999999999999E-2</v>
      </c>
      <c r="L178" s="4">
        <v>15.305999999999999</v>
      </c>
      <c r="M178" s="6">
        <v>18</v>
      </c>
      <c r="N178" s="6">
        <f t="shared" si="8"/>
        <v>3.0305879999999997E-2</v>
      </c>
      <c r="O178" s="1">
        <v>4</v>
      </c>
      <c r="P178" s="1">
        <f t="shared" si="10"/>
        <v>6.7346399999999992E-3</v>
      </c>
      <c r="Q178" s="6">
        <f t="shared" si="9"/>
        <v>0.16836599999999999</v>
      </c>
      <c r="X178" s="6">
        <f t="shared" si="11"/>
        <v>0.20540651999999998</v>
      </c>
      <c r="AB178" s="4" t="s">
        <v>234</v>
      </c>
      <c r="AC178" s="4" t="s">
        <v>232</v>
      </c>
    </row>
    <row r="179" spans="1:29" ht="33.75" customHeight="1" x14ac:dyDescent="0.35">
      <c r="A179" s="4" t="s">
        <v>31</v>
      </c>
      <c r="B179" s="4">
        <v>26055487</v>
      </c>
      <c r="C179" s="4" t="s">
        <v>27</v>
      </c>
      <c r="D179" s="4" t="s">
        <v>105</v>
      </c>
      <c r="F179" s="7">
        <v>9999999</v>
      </c>
      <c r="G179" s="13">
        <v>2005.2</v>
      </c>
      <c r="H179" s="4" t="s">
        <v>216</v>
      </c>
      <c r="J179" s="1" t="s">
        <v>28</v>
      </c>
      <c r="K179" s="4">
        <v>1.0999999999999999E-2</v>
      </c>
      <c r="L179" s="4">
        <v>15.305999999999999</v>
      </c>
      <c r="M179" s="6">
        <v>18</v>
      </c>
      <c r="N179" s="6">
        <f t="shared" si="8"/>
        <v>3.0305879999999997E-2</v>
      </c>
      <c r="O179" s="1">
        <v>4</v>
      </c>
      <c r="P179" s="1">
        <f t="shared" si="10"/>
        <v>6.7346399999999992E-3</v>
      </c>
      <c r="Q179" s="6">
        <f t="shared" si="9"/>
        <v>0.16836599999999999</v>
      </c>
      <c r="X179" s="6">
        <f t="shared" si="11"/>
        <v>0.20540651999999998</v>
      </c>
      <c r="AB179" s="4" t="s">
        <v>234</v>
      </c>
      <c r="AC179" s="4" t="s">
        <v>232</v>
      </c>
    </row>
    <row r="180" spans="1:29" ht="33.75" customHeight="1" x14ac:dyDescent="0.35">
      <c r="A180" s="4" t="s">
        <v>31</v>
      </c>
      <c r="B180" s="4">
        <v>26055488</v>
      </c>
      <c r="C180" s="4" t="s">
        <v>27</v>
      </c>
      <c r="D180" s="4" t="s">
        <v>106</v>
      </c>
      <c r="F180" s="8">
        <v>1720179168853</v>
      </c>
      <c r="G180" s="13">
        <v>2005.2</v>
      </c>
      <c r="H180" s="4" t="s">
        <v>212</v>
      </c>
      <c r="J180" s="1" t="s">
        <v>28</v>
      </c>
      <c r="K180" s="4">
        <v>1.0999999999999999E-2</v>
      </c>
      <c r="L180" s="4">
        <v>14.6938</v>
      </c>
      <c r="M180" s="6">
        <v>18</v>
      </c>
      <c r="N180" s="6">
        <f t="shared" si="8"/>
        <v>2.9093723999999998E-2</v>
      </c>
      <c r="O180" s="1">
        <v>4</v>
      </c>
      <c r="P180" s="1">
        <f t="shared" si="10"/>
        <v>6.4652719999999993E-3</v>
      </c>
      <c r="Q180" s="6">
        <f t="shared" si="9"/>
        <v>0.16163179999999999</v>
      </c>
      <c r="X180" s="6">
        <f t="shared" si="11"/>
        <v>0.19719079599999997</v>
      </c>
      <c r="AB180" s="4" t="s">
        <v>234</v>
      </c>
      <c r="AC180" s="4" t="s">
        <v>232</v>
      </c>
    </row>
    <row r="181" spans="1:29" ht="33.75" customHeight="1" x14ac:dyDescent="0.35">
      <c r="A181" s="4" t="s">
        <v>31</v>
      </c>
      <c r="B181" s="4">
        <v>26055489</v>
      </c>
      <c r="C181" s="4" t="s">
        <v>27</v>
      </c>
      <c r="D181" s="4" t="s">
        <v>107</v>
      </c>
      <c r="F181" s="7">
        <v>9999999</v>
      </c>
      <c r="G181" s="13">
        <v>2005.2</v>
      </c>
      <c r="H181" s="4" t="s">
        <v>216</v>
      </c>
      <c r="J181" s="1" t="s">
        <v>28</v>
      </c>
      <c r="K181" s="4">
        <v>1.0999999999999999E-2</v>
      </c>
      <c r="L181" s="4">
        <v>15.305999999999999</v>
      </c>
      <c r="M181" s="6">
        <v>18</v>
      </c>
      <c r="N181" s="6">
        <f t="shared" si="8"/>
        <v>3.0305879999999997E-2</v>
      </c>
      <c r="O181" s="1">
        <v>4</v>
      </c>
      <c r="P181" s="1">
        <f t="shared" si="10"/>
        <v>6.7346399999999992E-3</v>
      </c>
      <c r="Q181" s="6">
        <f t="shared" si="9"/>
        <v>0.16836599999999999</v>
      </c>
      <c r="X181" s="6">
        <f t="shared" si="11"/>
        <v>0.20540651999999998</v>
      </c>
      <c r="AB181" s="4" t="s">
        <v>234</v>
      </c>
      <c r="AC181" s="4" t="s">
        <v>232</v>
      </c>
    </row>
    <row r="182" spans="1:29" ht="33.75" customHeight="1" x14ac:dyDescent="0.35">
      <c r="A182" s="4" t="s">
        <v>31</v>
      </c>
      <c r="B182" s="4">
        <v>26055490</v>
      </c>
      <c r="C182" s="4" t="s">
        <v>27</v>
      </c>
      <c r="D182" s="4" t="s">
        <v>108</v>
      </c>
      <c r="F182" s="7">
        <v>9999999</v>
      </c>
      <c r="G182" s="13">
        <v>2005.2</v>
      </c>
      <c r="H182" s="4" t="s">
        <v>216</v>
      </c>
      <c r="J182" s="1" t="s">
        <v>28</v>
      </c>
      <c r="K182" s="4">
        <v>1.0999999999999999E-2</v>
      </c>
      <c r="L182" s="4">
        <v>15.305999999999999</v>
      </c>
      <c r="M182" s="6">
        <v>18</v>
      </c>
      <c r="N182" s="6">
        <f t="shared" si="8"/>
        <v>3.0305879999999997E-2</v>
      </c>
      <c r="O182" s="1">
        <v>4</v>
      </c>
      <c r="P182" s="1">
        <f t="shared" si="10"/>
        <v>6.7346399999999992E-3</v>
      </c>
      <c r="Q182" s="6">
        <f t="shared" si="9"/>
        <v>0.16836599999999999</v>
      </c>
      <c r="X182" s="6">
        <f t="shared" si="11"/>
        <v>0.20540651999999998</v>
      </c>
      <c r="AB182" s="4" t="s">
        <v>234</v>
      </c>
      <c r="AC182" s="4" t="s">
        <v>232</v>
      </c>
    </row>
    <row r="183" spans="1:29" ht="33.75" customHeight="1" x14ac:dyDescent="0.35">
      <c r="A183" s="4" t="s">
        <v>31</v>
      </c>
      <c r="B183" s="4">
        <v>26055491</v>
      </c>
      <c r="C183" s="4" t="s">
        <v>27</v>
      </c>
      <c r="D183" s="4" t="s">
        <v>109</v>
      </c>
      <c r="F183" s="8">
        <v>3710162051451</v>
      </c>
      <c r="G183" s="13">
        <v>2005.2</v>
      </c>
      <c r="H183" s="4" t="s">
        <v>217</v>
      </c>
      <c r="J183" s="1" t="s">
        <v>28</v>
      </c>
      <c r="K183" s="4">
        <v>0.86399999999999999</v>
      </c>
      <c r="L183" s="4">
        <v>885.72439999999995</v>
      </c>
      <c r="M183" s="6">
        <v>18</v>
      </c>
      <c r="N183" s="6">
        <f t="shared" si="8"/>
        <v>137.74785868799998</v>
      </c>
      <c r="O183" s="1">
        <v>4</v>
      </c>
      <c r="P183" s="1">
        <f t="shared" si="10"/>
        <v>30.610635263999999</v>
      </c>
      <c r="Q183" s="6">
        <f t="shared" si="9"/>
        <v>765.26588159999994</v>
      </c>
      <c r="X183" s="6">
        <f t="shared" si="11"/>
        <v>933.62437555199995</v>
      </c>
      <c r="AB183" s="4" t="s">
        <v>234</v>
      </c>
      <c r="AC183" s="4" t="s">
        <v>232</v>
      </c>
    </row>
    <row r="184" spans="1:29" ht="33.75" customHeight="1" x14ac:dyDescent="0.35">
      <c r="A184" s="4" t="s">
        <v>31</v>
      </c>
      <c r="B184" s="4">
        <v>26055491</v>
      </c>
      <c r="C184" s="4" t="s">
        <v>27</v>
      </c>
      <c r="D184" s="4" t="s">
        <v>109</v>
      </c>
      <c r="F184" s="8">
        <v>3710162051451</v>
      </c>
      <c r="G184" s="13">
        <v>2005.2</v>
      </c>
      <c r="H184" s="4" t="s">
        <v>212</v>
      </c>
      <c r="J184" s="1" t="s">
        <v>28</v>
      </c>
      <c r="K184" s="4">
        <v>0.91300000000000003</v>
      </c>
      <c r="L184" s="4">
        <v>1244.99</v>
      </c>
      <c r="M184" s="6">
        <v>18</v>
      </c>
      <c r="N184" s="6">
        <f t="shared" si="8"/>
        <v>204.60165659999998</v>
      </c>
      <c r="O184" s="1">
        <v>4</v>
      </c>
      <c r="P184" s="1">
        <f t="shared" si="10"/>
        <v>45.4670348</v>
      </c>
      <c r="Q184" s="6">
        <f t="shared" si="9"/>
        <v>1136.67587</v>
      </c>
      <c r="X184" s="6">
        <f t="shared" si="11"/>
        <v>1386.7445614000001</v>
      </c>
      <c r="AB184" s="4" t="s">
        <v>234</v>
      </c>
      <c r="AC184" s="4" t="s">
        <v>232</v>
      </c>
    </row>
    <row r="185" spans="1:29" ht="33.75" customHeight="1" x14ac:dyDescent="0.35">
      <c r="A185" s="4" t="s">
        <v>31</v>
      </c>
      <c r="B185" s="4">
        <v>26055491</v>
      </c>
      <c r="C185" s="4" t="s">
        <v>27</v>
      </c>
      <c r="D185" s="4" t="s">
        <v>109</v>
      </c>
      <c r="F185" s="8">
        <v>3710162051451</v>
      </c>
      <c r="G185" s="13">
        <v>2005.2</v>
      </c>
      <c r="H185" s="4" t="s">
        <v>220</v>
      </c>
      <c r="J185" s="1" t="s">
        <v>28</v>
      </c>
      <c r="K185" s="4">
        <v>0.88</v>
      </c>
      <c r="L185" s="4">
        <v>1199.9903999999999</v>
      </c>
      <c r="M185" s="6">
        <v>18</v>
      </c>
      <c r="N185" s="6">
        <f t="shared" si="8"/>
        <v>190.07847935999999</v>
      </c>
      <c r="O185" s="1">
        <v>4</v>
      </c>
      <c r="P185" s="1">
        <f t="shared" si="10"/>
        <v>42.239662079999995</v>
      </c>
      <c r="Q185" s="6">
        <f t="shared" si="9"/>
        <v>1055.991552</v>
      </c>
      <c r="X185" s="6">
        <f t="shared" si="11"/>
        <v>1288.30969344</v>
      </c>
      <c r="AB185" s="4" t="s">
        <v>234</v>
      </c>
      <c r="AC185" s="4" t="s">
        <v>232</v>
      </c>
    </row>
    <row r="186" spans="1:29" ht="33.75" customHeight="1" x14ac:dyDescent="0.35">
      <c r="A186" s="4" t="s">
        <v>31</v>
      </c>
      <c r="B186" s="4">
        <v>26055491</v>
      </c>
      <c r="C186" s="4" t="s">
        <v>27</v>
      </c>
      <c r="D186" s="4" t="s">
        <v>109</v>
      </c>
      <c r="F186" s="8">
        <v>3710162051451</v>
      </c>
      <c r="G186" s="13">
        <v>2005.2</v>
      </c>
      <c r="H186" s="4" t="s">
        <v>221</v>
      </c>
      <c r="J186" s="1" t="s">
        <v>28</v>
      </c>
      <c r="K186" s="4">
        <v>0.88</v>
      </c>
      <c r="L186" s="4">
        <v>1199.9903999999999</v>
      </c>
      <c r="M186" s="6">
        <v>18</v>
      </c>
      <c r="N186" s="6">
        <f t="shared" si="8"/>
        <v>190.07847935999999</v>
      </c>
      <c r="O186" s="1">
        <v>4</v>
      </c>
      <c r="P186" s="1">
        <f t="shared" si="10"/>
        <v>42.239662079999995</v>
      </c>
      <c r="Q186" s="6">
        <f t="shared" si="9"/>
        <v>1055.991552</v>
      </c>
      <c r="X186" s="6">
        <f t="shared" si="11"/>
        <v>1288.30969344</v>
      </c>
      <c r="AB186" s="4" t="s">
        <v>234</v>
      </c>
      <c r="AC186" s="4" t="s">
        <v>232</v>
      </c>
    </row>
    <row r="187" spans="1:29" ht="33.75" customHeight="1" x14ac:dyDescent="0.35">
      <c r="A187" s="4" t="s">
        <v>31</v>
      </c>
      <c r="B187" s="4">
        <v>26055491</v>
      </c>
      <c r="C187" s="4" t="s">
        <v>27</v>
      </c>
      <c r="D187" s="4" t="s">
        <v>109</v>
      </c>
      <c r="F187" s="8">
        <v>3710162051451</v>
      </c>
      <c r="G187" s="13">
        <v>2005.2</v>
      </c>
      <c r="H187" s="4" t="s">
        <v>190</v>
      </c>
      <c r="J187" s="1" t="s">
        <v>28</v>
      </c>
      <c r="K187" s="4">
        <v>0.88</v>
      </c>
      <c r="L187" s="4">
        <v>1199.9903999999999</v>
      </c>
      <c r="M187" s="6">
        <v>18</v>
      </c>
      <c r="N187" s="6">
        <f t="shared" si="8"/>
        <v>190.07847935999999</v>
      </c>
      <c r="O187" s="1">
        <v>4</v>
      </c>
      <c r="P187" s="1">
        <f t="shared" si="10"/>
        <v>42.239662079999995</v>
      </c>
      <c r="Q187" s="6">
        <f t="shared" si="9"/>
        <v>1055.991552</v>
      </c>
      <c r="X187" s="6">
        <f t="shared" si="11"/>
        <v>1288.30969344</v>
      </c>
      <c r="AB187" s="4" t="s">
        <v>234</v>
      </c>
      <c r="AC187" s="4" t="s">
        <v>232</v>
      </c>
    </row>
    <row r="188" spans="1:29" ht="33.75" customHeight="1" x14ac:dyDescent="0.35">
      <c r="A188" s="4" t="s">
        <v>31</v>
      </c>
      <c r="B188" s="4">
        <v>26055491</v>
      </c>
      <c r="C188" s="4" t="s">
        <v>27</v>
      </c>
      <c r="D188" s="4" t="s">
        <v>109</v>
      </c>
      <c r="F188" s="8">
        <v>3710162051451</v>
      </c>
      <c r="G188" s="13">
        <v>2005.2</v>
      </c>
      <c r="H188" s="4" t="s">
        <v>166</v>
      </c>
      <c r="J188" s="1" t="s">
        <v>28</v>
      </c>
      <c r="K188" s="4">
        <v>0.86399999999999999</v>
      </c>
      <c r="L188" s="4">
        <v>1062.1867</v>
      </c>
      <c r="M188" s="6">
        <v>18</v>
      </c>
      <c r="N188" s="6">
        <f t="shared" si="8"/>
        <v>165.19127558400001</v>
      </c>
      <c r="O188" s="1">
        <v>4</v>
      </c>
      <c r="P188" s="1">
        <f t="shared" si="10"/>
        <v>36.709172352000003</v>
      </c>
      <c r="Q188" s="6">
        <f t="shared" si="9"/>
        <v>917.72930880000001</v>
      </c>
      <c r="X188" s="6">
        <f t="shared" si="11"/>
        <v>1119.629756736</v>
      </c>
      <c r="AB188" s="4" t="s">
        <v>234</v>
      </c>
      <c r="AC188" s="4" t="s">
        <v>232</v>
      </c>
    </row>
    <row r="189" spans="1:29" ht="33.75" customHeight="1" x14ac:dyDescent="0.35">
      <c r="A189" s="4" t="s">
        <v>31</v>
      </c>
      <c r="B189" s="4">
        <v>26055491</v>
      </c>
      <c r="C189" s="4" t="s">
        <v>27</v>
      </c>
      <c r="D189" s="4" t="s">
        <v>109</v>
      </c>
      <c r="F189" s="8">
        <v>3710162051451</v>
      </c>
      <c r="G189" s="13">
        <v>2005.2</v>
      </c>
      <c r="H189" s="4" t="s">
        <v>167</v>
      </c>
      <c r="J189" s="1" t="s">
        <v>28</v>
      </c>
      <c r="K189" s="4">
        <v>0.86399999999999999</v>
      </c>
      <c r="L189" s="4">
        <v>1062.1867</v>
      </c>
      <c r="M189" s="6">
        <v>18</v>
      </c>
      <c r="N189" s="6">
        <f t="shared" si="8"/>
        <v>165.19127558400001</v>
      </c>
      <c r="O189" s="1">
        <v>4</v>
      </c>
      <c r="P189" s="1">
        <f t="shared" si="10"/>
        <v>36.709172352000003</v>
      </c>
      <c r="Q189" s="6">
        <f t="shared" si="9"/>
        <v>917.72930880000001</v>
      </c>
      <c r="X189" s="6">
        <f t="shared" si="11"/>
        <v>1119.629756736</v>
      </c>
      <c r="AB189" s="4" t="s">
        <v>234</v>
      </c>
      <c r="AC189" s="4" t="s">
        <v>232</v>
      </c>
    </row>
    <row r="190" spans="1:29" ht="33.75" customHeight="1" x14ac:dyDescent="0.35">
      <c r="A190" s="4" t="s">
        <v>31</v>
      </c>
      <c r="B190" s="4">
        <v>26055491</v>
      </c>
      <c r="C190" s="4" t="s">
        <v>27</v>
      </c>
      <c r="D190" s="4" t="s">
        <v>109</v>
      </c>
      <c r="F190" s="8">
        <v>3710162051451</v>
      </c>
      <c r="G190" s="13">
        <v>2005.2</v>
      </c>
      <c r="H190" s="4" t="s">
        <v>222</v>
      </c>
      <c r="J190" s="1" t="s">
        <v>28</v>
      </c>
      <c r="K190" s="4">
        <v>0.86399999999999999</v>
      </c>
      <c r="L190" s="4">
        <v>1062.1867</v>
      </c>
      <c r="M190" s="6">
        <v>18</v>
      </c>
      <c r="N190" s="6">
        <f t="shared" si="8"/>
        <v>165.19127558400001</v>
      </c>
      <c r="O190" s="1">
        <v>4</v>
      </c>
      <c r="P190" s="1">
        <f t="shared" si="10"/>
        <v>36.709172352000003</v>
      </c>
      <c r="Q190" s="6">
        <f t="shared" si="9"/>
        <v>917.72930880000001</v>
      </c>
      <c r="X190" s="6">
        <f t="shared" si="11"/>
        <v>1119.629756736</v>
      </c>
      <c r="AB190" s="4" t="s">
        <v>234</v>
      </c>
      <c r="AC190" s="4" t="s">
        <v>232</v>
      </c>
    </row>
    <row r="191" spans="1:29" ht="33.75" customHeight="1" x14ac:dyDescent="0.35">
      <c r="A191" s="4" t="s">
        <v>31</v>
      </c>
      <c r="B191" s="4">
        <v>26055491</v>
      </c>
      <c r="C191" s="4" t="s">
        <v>27</v>
      </c>
      <c r="D191" s="4" t="s">
        <v>109</v>
      </c>
      <c r="F191" s="8">
        <v>3710162051451</v>
      </c>
      <c r="G191" s="13">
        <v>2005.2</v>
      </c>
      <c r="H191" s="4" t="s">
        <v>168</v>
      </c>
      <c r="J191" s="1" t="s">
        <v>28</v>
      </c>
      <c r="K191" s="4">
        <v>0.76800000000000002</v>
      </c>
      <c r="L191" s="4">
        <v>1072.0322000000001</v>
      </c>
      <c r="M191" s="6">
        <v>18</v>
      </c>
      <c r="N191" s="6">
        <f t="shared" si="8"/>
        <v>148.197731328</v>
      </c>
      <c r="O191" s="1">
        <v>4</v>
      </c>
      <c r="P191" s="1">
        <f t="shared" si="10"/>
        <v>32.932829183999999</v>
      </c>
      <c r="Q191" s="6">
        <f t="shared" si="9"/>
        <v>823.32072960000005</v>
      </c>
      <c r="X191" s="6">
        <f t="shared" si="11"/>
        <v>1004.451290112</v>
      </c>
      <c r="AB191" s="4" t="s">
        <v>234</v>
      </c>
      <c r="AC191" s="4" t="s">
        <v>232</v>
      </c>
    </row>
    <row r="192" spans="1:29" ht="33.75" customHeight="1" x14ac:dyDescent="0.35">
      <c r="A192" s="4" t="s">
        <v>31</v>
      </c>
      <c r="B192" s="4">
        <v>26055491</v>
      </c>
      <c r="C192" s="4" t="s">
        <v>27</v>
      </c>
      <c r="D192" s="4" t="s">
        <v>109</v>
      </c>
      <c r="F192" s="8">
        <v>3710162051451</v>
      </c>
      <c r="G192" s="13">
        <v>2005.2</v>
      </c>
      <c r="H192" s="4" t="s">
        <v>169</v>
      </c>
      <c r="J192" s="1" t="s">
        <v>28</v>
      </c>
      <c r="K192" s="4">
        <v>0.72</v>
      </c>
      <c r="L192" s="4">
        <v>887.71299999999997</v>
      </c>
      <c r="M192" s="6">
        <v>18</v>
      </c>
      <c r="N192" s="6">
        <f t="shared" si="8"/>
        <v>115.04760479999997</v>
      </c>
      <c r="O192" s="1">
        <v>4</v>
      </c>
      <c r="P192" s="1">
        <f t="shared" si="10"/>
        <v>25.566134399999996</v>
      </c>
      <c r="Q192" s="6">
        <f t="shared" si="9"/>
        <v>639.15335999999991</v>
      </c>
      <c r="X192" s="6">
        <f t="shared" si="11"/>
        <v>779.76709919999985</v>
      </c>
      <c r="AB192" s="4" t="s">
        <v>234</v>
      </c>
      <c r="AC192" s="4" t="s">
        <v>232</v>
      </c>
    </row>
    <row r="193" spans="1:29" ht="33.75" customHeight="1" x14ac:dyDescent="0.35">
      <c r="A193" s="4" t="s">
        <v>31</v>
      </c>
      <c r="B193" s="4">
        <v>26055491</v>
      </c>
      <c r="C193" s="4" t="s">
        <v>27</v>
      </c>
      <c r="D193" s="4" t="s">
        <v>109</v>
      </c>
      <c r="F193" s="8">
        <v>3710162051451</v>
      </c>
      <c r="G193" s="13">
        <v>2005.2</v>
      </c>
      <c r="H193" s="4" t="s">
        <v>171</v>
      </c>
      <c r="J193" s="1" t="s">
        <v>28</v>
      </c>
      <c r="K193" s="4">
        <v>0.72</v>
      </c>
      <c r="L193" s="4">
        <v>828.49040000000002</v>
      </c>
      <c r="M193" s="6">
        <v>18</v>
      </c>
      <c r="N193" s="6">
        <f t="shared" si="8"/>
        <v>107.37235584</v>
      </c>
      <c r="O193" s="1">
        <v>4</v>
      </c>
      <c r="P193" s="1">
        <f t="shared" si="10"/>
        <v>23.860523520000001</v>
      </c>
      <c r="Q193" s="6">
        <f t="shared" si="9"/>
        <v>596.51308800000004</v>
      </c>
      <c r="X193" s="6">
        <f t="shared" si="11"/>
        <v>727.74596736000001</v>
      </c>
      <c r="AB193" s="4" t="s">
        <v>234</v>
      </c>
      <c r="AC193" s="4" t="s">
        <v>232</v>
      </c>
    </row>
    <row r="194" spans="1:29" ht="33.75" customHeight="1" x14ac:dyDescent="0.35">
      <c r="A194" s="4" t="s">
        <v>31</v>
      </c>
      <c r="B194" s="4">
        <v>26055491</v>
      </c>
      <c r="C194" s="4" t="s">
        <v>27</v>
      </c>
      <c r="D194" s="4" t="s">
        <v>109</v>
      </c>
      <c r="F194" s="8">
        <v>3710162051451</v>
      </c>
      <c r="G194" s="13">
        <v>2005.2</v>
      </c>
      <c r="H194" s="4" t="s">
        <v>172</v>
      </c>
      <c r="J194" s="1" t="s">
        <v>28</v>
      </c>
      <c r="K194" s="4">
        <v>0.72</v>
      </c>
      <c r="L194" s="4">
        <v>828.49040000000002</v>
      </c>
      <c r="M194" s="6">
        <v>18</v>
      </c>
      <c r="N194" s="6">
        <f t="shared" ref="N194:N257" si="12">K194*L194*(M194%)</f>
        <v>107.37235584</v>
      </c>
      <c r="O194" s="1">
        <v>4</v>
      </c>
      <c r="P194" s="1">
        <f t="shared" si="10"/>
        <v>23.860523520000001</v>
      </c>
      <c r="Q194" s="6">
        <f t="shared" ref="Q194:Q257" si="13">K194*L194</f>
        <v>596.51308800000004</v>
      </c>
      <c r="X194" s="6">
        <f t="shared" si="11"/>
        <v>727.74596736000001</v>
      </c>
      <c r="AB194" s="4" t="s">
        <v>234</v>
      </c>
      <c r="AC194" s="4" t="s">
        <v>232</v>
      </c>
    </row>
    <row r="195" spans="1:29" ht="33.75" customHeight="1" x14ac:dyDescent="0.35">
      <c r="A195" s="4" t="s">
        <v>31</v>
      </c>
      <c r="B195" s="4">
        <v>26055491</v>
      </c>
      <c r="C195" s="4" t="s">
        <v>27</v>
      </c>
      <c r="D195" s="4" t="s">
        <v>109</v>
      </c>
      <c r="F195" s="8">
        <v>3710162051451</v>
      </c>
      <c r="G195" s="13">
        <v>2005.2</v>
      </c>
      <c r="H195" s="4" t="s">
        <v>165</v>
      </c>
      <c r="J195" s="1" t="s">
        <v>28</v>
      </c>
      <c r="K195" s="4">
        <v>0.72</v>
      </c>
      <c r="L195" s="4">
        <v>823.23450000000003</v>
      </c>
      <c r="M195" s="6">
        <v>18</v>
      </c>
      <c r="N195" s="6">
        <f t="shared" si="12"/>
        <v>106.69119119999999</v>
      </c>
      <c r="O195" s="1">
        <v>4</v>
      </c>
      <c r="P195" s="1">
        <f t="shared" ref="P195:P258" si="14">Q195*4/100</f>
        <v>23.7091536</v>
      </c>
      <c r="Q195" s="6">
        <f t="shared" si="13"/>
        <v>592.72883999999999</v>
      </c>
      <c r="X195" s="6">
        <f t="shared" ref="X195:X258" si="15">Q195+N195+P195</f>
        <v>723.12918480000008</v>
      </c>
      <c r="AB195" s="4" t="s">
        <v>234</v>
      </c>
      <c r="AC195" s="4" t="s">
        <v>232</v>
      </c>
    </row>
    <row r="196" spans="1:29" ht="33.75" customHeight="1" x14ac:dyDescent="0.35">
      <c r="A196" s="4" t="s">
        <v>31</v>
      </c>
      <c r="B196" s="4">
        <v>26055491</v>
      </c>
      <c r="C196" s="4" t="s">
        <v>27</v>
      </c>
      <c r="D196" s="4" t="s">
        <v>109</v>
      </c>
      <c r="F196" s="8">
        <v>3710162051451</v>
      </c>
      <c r="G196" s="6" t="s">
        <v>233</v>
      </c>
      <c r="H196" s="4" t="s">
        <v>193</v>
      </c>
      <c r="J196" s="1" t="s">
        <v>28</v>
      </c>
      <c r="K196" s="4">
        <v>0.86399999999999999</v>
      </c>
      <c r="L196" s="4">
        <v>896.68349999999998</v>
      </c>
      <c r="M196" s="6">
        <v>18</v>
      </c>
      <c r="N196" s="6">
        <f t="shared" si="12"/>
        <v>139.45221792000001</v>
      </c>
      <c r="O196" s="1">
        <v>4</v>
      </c>
      <c r="P196" s="1">
        <f t="shared" si="14"/>
        <v>30.989381760000001</v>
      </c>
      <c r="Q196" s="6">
        <f t="shared" si="13"/>
        <v>774.73454400000003</v>
      </c>
      <c r="X196" s="6">
        <f t="shared" si="15"/>
        <v>945.17614368</v>
      </c>
      <c r="AB196" s="4" t="s">
        <v>234</v>
      </c>
      <c r="AC196" s="4" t="s">
        <v>232</v>
      </c>
    </row>
    <row r="197" spans="1:29" ht="33.75" customHeight="1" x14ac:dyDescent="0.35">
      <c r="A197" s="4" t="s">
        <v>31</v>
      </c>
      <c r="B197" s="4">
        <v>26055492</v>
      </c>
      <c r="C197" s="4" t="s">
        <v>27</v>
      </c>
      <c r="D197" s="4" t="s">
        <v>109</v>
      </c>
      <c r="F197" s="8">
        <v>3710162051451</v>
      </c>
      <c r="G197" s="13">
        <v>2005.2</v>
      </c>
      <c r="H197" s="4" t="s">
        <v>212</v>
      </c>
      <c r="J197" s="1" t="s">
        <v>28</v>
      </c>
      <c r="K197" s="4">
        <v>4.3999999999999997E-2</v>
      </c>
      <c r="L197" s="4">
        <v>59.999499999999998</v>
      </c>
      <c r="M197" s="6">
        <v>18</v>
      </c>
      <c r="N197" s="6">
        <f t="shared" si="12"/>
        <v>0.47519603999999993</v>
      </c>
      <c r="O197" s="1">
        <v>4</v>
      </c>
      <c r="P197" s="1">
        <f t="shared" si="14"/>
        <v>0.10559911999999999</v>
      </c>
      <c r="Q197" s="6">
        <f t="shared" si="13"/>
        <v>2.6399779999999997</v>
      </c>
      <c r="X197" s="6">
        <f t="shared" si="15"/>
        <v>3.2207731599999994</v>
      </c>
      <c r="AB197" s="4" t="s">
        <v>234</v>
      </c>
      <c r="AC197" s="4" t="s">
        <v>232</v>
      </c>
    </row>
    <row r="198" spans="1:29" ht="33.75" customHeight="1" x14ac:dyDescent="0.35">
      <c r="A198" s="4" t="s">
        <v>31</v>
      </c>
      <c r="B198" s="4">
        <v>26055493</v>
      </c>
      <c r="C198" s="4" t="s">
        <v>27</v>
      </c>
      <c r="D198" s="4" t="s">
        <v>110</v>
      </c>
      <c r="F198" s="8">
        <v>3710186417175</v>
      </c>
      <c r="G198" s="13">
        <v>2005.2</v>
      </c>
      <c r="H198" s="4" t="s">
        <v>212</v>
      </c>
      <c r="J198" s="1" t="s">
        <v>28</v>
      </c>
      <c r="K198" s="4">
        <v>4.3999999999999997E-2</v>
      </c>
      <c r="L198" s="4">
        <v>59.999499999999998</v>
      </c>
      <c r="M198" s="6">
        <v>18</v>
      </c>
      <c r="N198" s="6">
        <f t="shared" si="12"/>
        <v>0.47519603999999993</v>
      </c>
      <c r="O198" s="1">
        <v>4</v>
      </c>
      <c r="P198" s="1">
        <f t="shared" si="14"/>
        <v>0.10559911999999999</v>
      </c>
      <c r="Q198" s="6">
        <f t="shared" si="13"/>
        <v>2.6399779999999997</v>
      </c>
      <c r="X198" s="6">
        <f t="shared" si="15"/>
        <v>3.2207731599999994</v>
      </c>
      <c r="AB198" s="4" t="s">
        <v>234</v>
      </c>
      <c r="AC198" s="4" t="s">
        <v>232</v>
      </c>
    </row>
    <row r="199" spans="1:29" ht="33.75" customHeight="1" x14ac:dyDescent="0.35">
      <c r="A199" s="4" t="s">
        <v>31</v>
      </c>
      <c r="B199" s="4">
        <v>26055494</v>
      </c>
      <c r="C199" s="4" t="s">
        <v>27</v>
      </c>
      <c r="D199" s="4" t="s">
        <v>111</v>
      </c>
      <c r="F199" s="7">
        <v>9999999</v>
      </c>
      <c r="G199" s="13">
        <v>2005.2</v>
      </c>
      <c r="H199" s="4" t="s">
        <v>216</v>
      </c>
      <c r="J199" s="1" t="s">
        <v>28</v>
      </c>
      <c r="K199" s="4">
        <v>4.3999999999999997E-2</v>
      </c>
      <c r="L199" s="4">
        <v>61.223999999999997</v>
      </c>
      <c r="M199" s="6">
        <v>18</v>
      </c>
      <c r="N199" s="6">
        <f t="shared" si="12"/>
        <v>0.48489407999999995</v>
      </c>
      <c r="O199" s="1">
        <v>4</v>
      </c>
      <c r="P199" s="1">
        <f t="shared" si="14"/>
        <v>0.10775423999999999</v>
      </c>
      <c r="Q199" s="6">
        <f t="shared" si="13"/>
        <v>2.6938559999999998</v>
      </c>
      <c r="X199" s="6">
        <f t="shared" si="15"/>
        <v>3.2865043199999997</v>
      </c>
      <c r="AB199" s="4" t="s">
        <v>234</v>
      </c>
      <c r="AC199" s="4" t="s">
        <v>232</v>
      </c>
    </row>
    <row r="200" spans="1:29" ht="33.75" customHeight="1" x14ac:dyDescent="0.35">
      <c r="A200" s="4" t="s">
        <v>31</v>
      </c>
      <c r="B200" s="4">
        <v>26055495</v>
      </c>
      <c r="C200" s="4" t="s">
        <v>27</v>
      </c>
      <c r="D200" s="4" t="s">
        <v>111</v>
      </c>
      <c r="F200" s="7">
        <v>9999999</v>
      </c>
      <c r="G200" s="13">
        <v>2005.2</v>
      </c>
      <c r="H200" s="4" t="s">
        <v>216</v>
      </c>
      <c r="J200" s="1" t="s">
        <v>28</v>
      </c>
      <c r="K200" s="4">
        <v>4.3999999999999997E-2</v>
      </c>
      <c r="L200" s="4">
        <v>61.223999999999997</v>
      </c>
      <c r="M200" s="6">
        <v>18</v>
      </c>
      <c r="N200" s="6">
        <f t="shared" si="12"/>
        <v>0.48489407999999995</v>
      </c>
      <c r="O200" s="1">
        <v>4</v>
      </c>
      <c r="P200" s="1">
        <f t="shared" si="14"/>
        <v>0.10775423999999999</v>
      </c>
      <c r="Q200" s="6">
        <f t="shared" si="13"/>
        <v>2.6938559999999998</v>
      </c>
      <c r="X200" s="6">
        <f t="shared" si="15"/>
        <v>3.2865043199999997</v>
      </c>
      <c r="AB200" s="4" t="s">
        <v>234</v>
      </c>
      <c r="AC200" s="4" t="s">
        <v>232</v>
      </c>
    </row>
    <row r="201" spans="1:29" ht="33.75" customHeight="1" x14ac:dyDescent="0.35">
      <c r="A201" s="4" t="s">
        <v>31</v>
      </c>
      <c r="B201" s="4">
        <v>26055496</v>
      </c>
      <c r="C201" s="4" t="s">
        <v>27</v>
      </c>
      <c r="D201" s="4" t="s">
        <v>112</v>
      </c>
      <c r="F201" s="7">
        <v>9999999</v>
      </c>
      <c r="G201" s="13">
        <v>2005.2</v>
      </c>
      <c r="H201" s="4" t="s">
        <v>216</v>
      </c>
      <c r="J201" s="1" t="s">
        <v>28</v>
      </c>
      <c r="K201" s="4">
        <v>4.3999999999999997E-2</v>
      </c>
      <c r="L201" s="4">
        <v>58.774999999999999</v>
      </c>
      <c r="M201" s="6">
        <v>18</v>
      </c>
      <c r="N201" s="6">
        <f t="shared" si="12"/>
        <v>0.46549799999999991</v>
      </c>
      <c r="O201" s="1">
        <v>4</v>
      </c>
      <c r="P201" s="1">
        <f t="shared" si="14"/>
        <v>0.10344399999999998</v>
      </c>
      <c r="Q201" s="6">
        <f t="shared" si="13"/>
        <v>2.5860999999999996</v>
      </c>
      <c r="X201" s="6">
        <f t="shared" si="15"/>
        <v>3.1550419999999995</v>
      </c>
      <c r="AB201" s="4" t="s">
        <v>234</v>
      </c>
      <c r="AC201" s="4" t="s">
        <v>232</v>
      </c>
    </row>
    <row r="202" spans="1:29" ht="33.75" customHeight="1" x14ac:dyDescent="0.35">
      <c r="A202" s="4" t="s">
        <v>31</v>
      </c>
      <c r="B202" s="4">
        <v>26055497</v>
      </c>
      <c r="C202" s="4" t="s">
        <v>27</v>
      </c>
      <c r="D202" s="4" t="s">
        <v>113</v>
      </c>
      <c r="F202" s="7">
        <v>9999999</v>
      </c>
      <c r="G202" s="13">
        <v>2005.2</v>
      </c>
      <c r="H202" s="4" t="s">
        <v>216</v>
      </c>
      <c r="J202" s="1" t="s">
        <v>28</v>
      </c>
      <c r="K202" s="4">
        <v>4.3999999999999997E-2</v>
      </c>
      <c r="L202" s="4">
        <v>61.223999999999997</v>
      </c>
      <c r="M202" s="6">
        <v>18</v>
      </c>
      <c r="N202" s="6">
        <f t="shared" si="12"/>
        <v>0.48489407999999995</v>
      </c>
      <c r="O202" s="1">
        <v>4</v>
      </c>
      <c r="P202" s="1">
        <f t="shared" si="14"/>
        <v>0.10775423999999999</v>
      </c>
      <c r="Q202" s="6">
        <f t="shared" si="13"/>
        <v>2.6938559999999998</v>
      </c>
      <c r="X202" s="6">
        <f t="shared" si="15"/>
        <v>3.2865043199999997</v>
      </c>
      <c r="AB202" s="4" t="s">
        <v>234</v>
      </c>
      <c r="AC202" s="4" t="s">
        <v>232</v>
      </c>
    </row>
    <row r="203" spans="1:29" ht="33.75" customHeight="1" x14ac:dyDescent="0.35">
      <c r="A203" s="4" t="s">
        <v>31</v>
      </c>
      <c r="B203" s="4">
        <v>26055498</v>
      </c>
      <c r="C203" s="4" t="s">
        <v>27</v>
      </c>
      <c r="D203" s="4" t="s">
        <v>114</v>
      </c>
      <c r="F203" s="8">
        <v>1481410</v>
      </c>
      <c r="G203" s="13">
        <v>2005.2</v>
      </c>
      <c r="H203" s="4" t="s">
        <v>212</v>
      </c>
      <c r="J203" s="1" t="s">
        <v>28</v>
      </c>
      <c r="K203" s="4">
        <v>4.3999999999999997E-2</v>
      </c>
      <c r="L203" s="4">
        <v>58.162799999999997</v>
      </c>
      <c r="M203" s="6">
        <v>18</v>
      </c>
      <c r="N203" s="6">
        <f t="shared" si="12"/>
        <v>0.46064937599999989</v>
      </c>
      <c r="O203" s="1">
        <v>4</v>
      </c>
      <c r="P203" s="1">
        <f t="shared" si="14"/>
        <v>0.10236652799999998</v>
      </c>
      <c r="Q203" s="6">
        <f t="shared" si="13"/>
        <v>2.5591631999999995</v>
      </c>
      <c r="X203" s="6">
        <f t="shared" si="15"/>
        <v>3.1221791039999998</v>
      </c>
      <c r="AB203" s="4" t="s">
        <v>234</v>
      </c>
      <c r="AC203" s="4" t="s">
        <v>232</v>
      </c>
    </row>
    <row r="204" spans="1:29" ht="33.75" customHeight="1" x14ac:dyDescent="0.35">
      <c r="A204" s="4" t="s">
        <v>31</v>
      </c>
      <c r="B204" s="4">
        <v>26055499</v>
      </c>
      <c r="C204" s="4" t="s">
        <v>27</v>
      </c>
      <c r="D204" s="4" t="s">
        <v>115</v>
      </c>
      <c r="F204" s="7">
        <v>9999999</v>
      </c>
      <c r="G204" s="13">
        <v>2005.2</v>
      </c>
      <c r="H204" s="4" t="s">
        <v>216</v>
      </c>
      <c r="J204" s="1" t="s">
        <v>28</v>
      </c>
      <c r="K204" s="4">
        <v>4.3999999999999997E-2</v>
      </c>
      <c r="L204" s="4">
        <v>58.774999999999999</v>
      </c>
      <c r="M204" s="6">
        <v>18</v>
      </c>
      <c r="N204" s="6">
        <f t="shared" si="12"/>
        <v>0.46549799999999991</v>
      </c>
      <c r="O204" s="1">
        <v>4</v>
      </c>
      <c r="P204" s="1">
        <f t="shared" si="14"/>
        <v>0.10344399999999998</v>
      </c>
      <c r="Q204" s="6">
        <f t="shared" si="13"/>
        <v>2.5860999999999996</v>
      </c>
      <c r="X204" s="6">
        <f t="shared" si="15"/>
        <v>3.1550419999999995</v>
      </c>
      <c r="AB204" s="4" t="s">
        <v>234</v>
      </c>
      <c r="AC204" s="4" t="s">
        <v>232</v>
      </c>
    </row>
    <row r="205" spans="1:29" ht="33.75" customHeight="1" x14ac:dyDescent="0.35">
      <c r="A205" s="4" t="s">
        <v>31</v>
      </c>
      <c r="B205" s="4">
        <v>26055500</v>
      </c>
      <c r="C205" s="4" t="s">
        <v>27</v>
      </c>
      <c r="D205" s="4" t="s">
        <v>116</v>
      </c>
      <c r="F205" s="8">
        <v>4240109228421</v>
      </c>
      <c r="G205" s="13">
        <v>2005.2</v>
      </c>
      <c r="H205" s="4" t="s">
        <v>212</v>
      </c>
      <c r="J205" s="1" t="s">
        <v>28</v>
      </c>
      <c r="K205" s="4">
        <v>3.3000000000000002E-2</v>
      </c>
      <c r="L205" s="4">
        <v>44.540500000000002</v>
      </c>
      <c r="M205" s="6">
        <v>18</v>
      </c>
      <c r="N205" s="6">
        <f t="shared" si="12"/>
        <v>0.26457057</v>
      </c>
      <c r="O205" s="1">
        <v>4</v>
      </c>
      <c r="P205" s="1">
        <f t="shared" si="14"/>
        <v>5.8793460000000006E-2</v>
      </c>
      <c r="Q205" s="6">
        <f t="shared" si="13"/>
        <v>1.4698365000000002</v>
      </c>
      <c r="X205" s="6">
        <f t="shared" si="15"/>
        <v>1.7932005300000002</v>
      </c>
      <c r="AB205" s="4" t="s">
        <v>234</v>
      </c>
      <c r="AC205" s="4" t="s">
        <v>232</v>
      </c>
    </row>
    <row r="206" spans="1:29" ht="33.75" customHeight="1" x14ac:dyDescent="0.35">
      <c r="A206" s="4" t="s">
        <v>31</v>
      </c>
      <c r="B206" s="4">
        <v>26055501</v>
      </c>
      <c r="C206" s="4" t="s">
        <v>27</v>
      </c>
      <c r="D206" s="4" t="s">
        <v>117</v>
      </c>
      <c r="F206" s="8">
        <v>3710116708561</v>
      </c>
      <c r="G206" s="13">
        <v>2005.2</v>
      </c>
      <c r="H206" s="4" t="s">
        <v>212</v>
      </c>
      <c r="J206" s="1" t="s">
        <v>28</v>
      </c>
      <c r="K206" s="4">
        <v>3.3000000000000002E-2</v>
      </c>
      <c r="L206" s="4">
        <v>43.622100000000003</v>
      </c>
      <c r="M206" s="6">
        <v>18</v>
      </c>
      <c r="N206" s="6">
        <f t="shared" si="12"/>
        <v>0.25911527400000001</v>
      </c>
      <c r="O206" s="1">
        <v>4</v>
      </c>
      <c r="P206" s="1">
        <f t="shared" si="14"/>
        <v>5.7581172000000007E-2</v>
      </c>
      <c r="Q206" s="6">
        <f t="shared" si="13"/>
        <v>1.4395293000000002</v>
      </c>
      <c r="X206" s="6">
        <f t="shared" si="15"/>
        <v>1.7562257460000001</v>
      </c>
      <c r="AB206" s="4" t="s">
        <v>234</v>
      </c>
      <c r="AC206" s="4" t="s">
        <v>232</v>
      </c>
    </row>
    <row r="207" spans="1:29" ht="33.75" customHeight="1" x14ac:dyDescent="0.35">
      <c r="A207" s="4" t="s">
        <v>31</v>
      </c>
      <c r="B207" s="4">
        <v>26055502</v>
      </c>
      <c r="C207" s="4" t="s">
        <v>27</v>
      </c>
      <c r="D207" s="4" t="s">
        <v>117</v>
      </c>
      <c r="F207" s="8">
        <v>3710116708561</v>
      </c>
      <c r="G207" s="13">
        <v>2005.2</v>
      </c>
      <c r="H207" s="4" t="s">
        <v>212</v>
      </c>
      <c r="J207" s="1" t="s">
        <v>28</v>
      </c>
      <c r="K207" s="4">
        <v>3.3000000000000002E-2</v>
      </c>
      <c r="L207" s="4">
        <v>43.622100000000003</v>
      </c>
      <c r="M207" s="6">
        <v>18</v>
      </c>
      <c r="N207" s="6">
        <f t="shared" si="12"/>
        <v>0.25911527400000001</v>
      </c>
      <c r="O207" s="1">
        <v>4</v>
      </c>
      <c r="P207" s="1">
        <f t="shared" si="14"/>
        <v>5.7581172000000007E-2</v>
      </c>
      <c r="Q207" s="6">
        <f t="shared" si="13"/>
        <v>1.4395293000000002</v>
      </c>
      <c r="X207" s="6">
        <f t="shared" si="15"/>
        <v>1.7562257460000001</v>
      </c>
      <c r="AB207" s="4" t="s">
        <v>234</v>
      </c>
      <c r="AC207" s="4" t="s">
        <v>232</v>
      </c>
    </row>
    <row r="208" spans="1:29" ht="33.75" customHeight="1" x14ac:dyDescent="0.35">
      <c r="A208" s="4" t="s">
        <v>31</v>
      </c>
      <c r="B208" s="4">
        <v>26055502</v>
      </c>
      <c r="C208" s="4" t="s">
        <v>27</v>
      </c>
      <c r="D208" s="4" t="s">
        <v>117</v>
      </c>
      <c r="F208" s="8">
        <v>3710116708561</v>
      </c>
      <c r="G208" s="13">
        <v>2005.2</v>
      </c>
      <c r="H208" s="4" t="s">
        <v>169</v>
      </c>
      <c r="J208" s="1" t="s">
        <v>28</v>
      </c>
      <c r="K208" s="4">
        <v>7.2</v>
      </c>
      <c r="L208" s="4">
        <v>8605.3811999999998</v>
      </c>
      <c r="M208" s="6">
        <v>18</v>
      </c>
      <c r="N208" s="6">
        <f t="shared" si="12"/>
        <v>11152.574035199999</v>
      </c>
      <c r="O208" s="1">
        <v>4</v>
      </c>
      <c r="P208" s="1">
        <f t="shared" si="14"/>
        <v>2478.3497855999999</v>
      </c>
      <c r="Q208" s="6">
        <f t="shared" si="13"/>
        <v>61958.744639999997</v>
      </c>
      <c r="X208" s="6">
        <f t="shared" si="15"/>
        <v>75589.668460799992</v>
      </c>
      <c r="AB208" s="4" t="s">
        <v>234</v>
      </c>
      <c r="AC208" s="4" t="s">
        <v>232</v>
      </c>
    </row>
    <row r="209" spans="1:29" ht="33.75" customHeight="1" x14ac:dyDescent="0.35">
      <c r="A209" s="4" t="s">
        <v>31</v>
      </c>
      <c r="B209" s="4">
        <v>26055502</v>
      </c>
      <c r="C209" s="4" t="s">
        <v>27</v>
      </c>
      <c r="D209" s="4" t="s">
        <v>117</v>
      </c>
      <c r="F209" s="8">
        <v>3710116708561</v>
      </c>
      <c r="G209" s="13">
        <v>2005.2</v>
      </c>
      <c r="H209" s="4" t="s">
        <v>170</v>
      </c>
      <c r="J209" s="1" t="s">
        <v>28</v>
      </c>
      <c r="K209" s="4">
        <v>3.6</v>
      </c>
      <c r="L209" s="4">
        <v>4302.6905999999999</v>
      </c>
      <c r="M209" s="6">
        <v>18</v>
      </c>
      <c r="N209" s="6">
        <f t="shared" si="12"/>
        <v>2788.1435087999998</v>
      </c>
      <c r="O209" s="1">
        <v>4</v>
      </c>
      <c r="P209" s="1">
        <f t="shared" si="14"/>
        <v>619.58744639999998</v>
      </c>
      <c r="Q209" s="6">
        <f t="shared" si="13"/>
        <v>15489.686159999999</v>
      </c>
      <c r="X209" s="6">
        <f t="shared" si="15"/>
        <v>18897.417115199998</v>
      </c>
      <c r="AB209" s="4" t="s">
        <v>234</v>
      </c>
      <c r="AC209" s="4" t="s">
        <v>232</v>
      </c>
    </row>
    <row r="210" spans="1:29" ht="33.75" customHeight="1" x14ac:dyDescent="0.35">
      <c r="A210" s="4" t="s">
        <v>31</v>
      </c>
      <c r="B210" s="4">
        <v>26055504</v>
      </c>
      <c r="C210" s="4" t="s">
        <v>27</v>
      </c>
      <c r="D210" s="4" t="s">
        <v>118</v>
      </c>
      <c r="F210" s="7">
        <v>9999999</v>
      </c>
      <c r="G210" s="13">
        <v>2005.2</v>
      </c>
      <c r="H210" s="4" t="s">
        <v>216</v>
      </c>
      <c r="J210" s="1" t="s">
        <v>28</v>
      </c>
      <c r="K210" s="4">
        <v>3.3000000000000002E-2</v>
      </c>
      <c r="L210" s="4">
        <v>45.917999999999999</v>
      </c>
      <c r="M210" s="6">
        <v>18</v>
      </c>
      <c r="N210" s="6">
        <f t="shared" si="12"/>
        <v>0.27275292000000001</v>
      </c>
      <c r="O210" s="1">
        <v>4</v>
      </c>
      <c r="P210" s="1">
        <f t="shared" si="14"/>
        <v>6.0611760000000008E-2</v>
      </c>
      <c r="Q210" s="6">
        <f t="shared" si="13"/>
        <v>1.5152940000000001</v>
      </c>
      <c r="X210" s="6">
        <f t="shared" si="15"/>
        <v>1.8486586800000002</v>
      </c>
      <c r="AB210" s="4" t="s">
        <v>234</v>
      </c>
      <c r="AC210" s="4" t="s">
        <v>232</v>
      </c>
    </row>
    <row r="211" spans="1:29" ht="33.75" customHeight="1" x14ac:dyDescent="0.35">
      <c r="A211" s="4" t="s">
        <v>31</v>
      </c>
      <c r="B211" s="4">
        <v>26055505</v>
      </c>
      <c r="C211" s="4" t="s">
        <v>27</v>
      </c>
      <c r="D211" s="4" t="s">
        <v>119</v>
      </c>
      <c r="F211" s="7">
        <v>9999999</v>
      </c>
      <c r="G211" s="13">
        <v>2005.2</v>
      </c>
      <c r="H211" s="4" t="s">
        <v>216</v>
      </c>
      <c r="J211" s="1" t="s">
        <v>28</v>
      </c>
      <c r="K211" s="4">
        <v>3.3000000000000002E-2</v>
      </c>
      <c r="L211" s="4">
        <v>45.917999999999999</v>
      </c>
      <c r="M211" s="6">
        <v>18</v>
      </c>
      <c r="N211" s="6">
        <f t="shared" si="12"/>
        <v>0.27275292000000001</v>
      </c>
      <c r="O211" s="1">
        <v>4</v>
      </c>
      <c r="P211" s="1">
        <f t="shared" si="14"/>
        <v>6.0611760000000008E-2</v>
      </c>
      <c r="Q211" s="6">
        <f t="shared" si="13"/>
        <v>1.5152940000000001</v>
      </c>
      <c r="X211" s="6">
        <f t="shared" si="15"/>
        <v>1.8486586800000002</v>
      </c>
      <c r="AB211" s="4" t="s">
        <v>234</v>
      </c>
      <c r="AC211" s="4" t="s">
        <v>232</v>
      </c>
    </row>
    <row r="212" spans="1:29" ht="33.75" customHeight="1" x14ac:dyDescent="0.35">
      <c r="A212" s="4" t="s">
        <v>31</v>
      </c>
      <c r="B212" s="4">
        <v>26055506</v>
      </c>
      <c r="C212" s="4" t="s">
        <v>27</v>
      </c>
      <c r="D212" s="4" t="s">
        <v>120</v>
      </c>
      <c r="F212" s="7">
        <v>9999999</v>
      </c>
      <c r="G212" s="13">
        <v>2005.2</v>
      </c>
      <c r="H212" s="4" t="s">
        <v>216</v>
      </c>
      <c r="J212" s="1" t="s">
        <v>28</v>
      </c>
      <c r="K212" s="4">
        <v>3.3000000000000002E-2</v>
      </c>
      <c r="L212" s="4">
        <v>44.081299999999999</v>
      </c>
      <c r="M212" s="6">
        <v>18</v>
      </c>
      <c r="N212" s="6">
        <f t="shared" si="12"/>
        <v>0.26184292200000003</v>
      </c>
      <c r="O212" s="1">
        <v>4</v>
      </c>
      <c r="P212" s="1">
        <f t="shared" si="14"/>
        <v>5.8187316000000003E-2</v>
      </c>
      <c r="Q212" s="6">
        <f t="shared" si="13"/>
        <v>1.4546829000000001</v>
      </c>
      <c r="X212" s="6">
        <f t="shared" si="15"/>
        <v>1.7747131380000001</v>
      </c>
      <c r="AB212" s="4" t="s">
        <v>234</v>
      </c>
      <c r="AC212" s="4" t="s">
        <v>232</v>
      </c>
    </row>
    <row r="213" spans="1:29" ht="33.75" customHeight="1" x14ac:dyDescent="0.35">
      <c r="A213" s="4" t="s">
        <v>31</v>
      </c>
      <c r="B213" s="4">
        <v>26055507</v>
      </c>
      <c r="C213" s="4" t="s">
        <v>27</v>
      </c>
      <c r="D213" s="4" t="s">
        <v>58</v>
      </c>
      <c r="F213" s="8">
        <v>3710181044631</v>
      </c>
      <c r="G213" s="13">
        <v>2005.2</v>
      </c>
      <c r="H213" s="4" t="s">
        <v>212</v>
      </c>
      <c r="J213" s="1" t="s">
        <v>28</v>
      </c>
      <c r="K213" s="4">
        <v>0.91300000000000003</v>
      </c>
      <c r="L213" s="4">
        <v>1270.3979999999999</v>
      </c>
      <c r="M213" s="6">
        <v>18</v>
      </c>
      <c r="N213" s="6">
        <f t="shared" si="12"/>
        <v>208.77720732</v>
      </c>
      <c r="O213" s="1">
        <v>4</v>
      </c>
      <c r="P213" s="1">
        <f t="shared" si="14"/>
        <v>46.394934960000001</v>
      </c>
      <c r="Q213" s="6">
        <f t="shared" si="13"/>
        <v>1159.873374</v>
      </c>
      <c r="X213" s="6">
        <f t="shared" si="15"/>
        <v>1415.0455162800001</v>
      </c>
      <c r="AB213" s="4" t="s">
        <v>234</v>
      </c>
      <c r="AC213" s="4" t="s">
        <v>232</v>
      </c>
    </row>
    <row r="214" spans="1:29" ht="33.75" customHeight="1" x14ac:dyDescent="0.35">
      <c r="A214" s="4" t="s">
        <v>31</v>
      </c>
      <c r="B214" s="4">
        <v>26055507</v>
      </c>
      <c r="C214" s="4" t="s">
        <v>27</v>
      </c>
      <c r="D214" s="4" t="s">
        <v>58</v>
      </c>
      <c r="F214" s="8">
        <v>3710181044631</v>
      </c>
      <c r="G214" s="6" t="s">
        <v>233</v>
      </c>
      <c r="H214" s="4" t="s">
        <v>223</v>
      </c>
      <c r="J214" s="1" t="s">
        <v>28</v>
      </c>
      <c r="K214" s="4">
        <v>0.70399999999999996</v>
      </c>
      <c r="L214" s="4">
        <v>983.2</v>
      </c>
      <c r="M214" s="6">
        <v>18</v>
      </c>
      <c r="N214" s="6">
        <f t="shared" si="12"/>
        <v>124.59110399999999</v>
      </c>
      <c r="O214" s="1">
        <v>4</v>
      </c>
      <c r="P214" s="1">
        <f t="shared" si="14"/>
        <v>27.686911999999996</v>
      </c>
      <c r="Q214" s="6">
        <f t="shared" si="13"/>
        <v>692.17279999999994</v>
      </c>
      <c r="X214" s="6">
        <f t="shared" si="15"/>
        <v>844.45081599999992</v>
      </c>
      <c r="AB214" s="4" t="s">
        <v>234</v>
      </c>
      <c r="AC214" s="4" t="s">
        <v>232</v>
      </c>
    </row>
    <row r="215" spans="1:29" ht="33.75" customHeight="1" x14ac:dyDescent="0.35">
      <c r="A215" s="4" t="s">
        <v>31</v>
      </c>
      <c r="B215" s="4">
        <v>26055507</v>
      </c>
      <c r="C215" s="4" t="s">
        <v>27</v>
      </c>
      <c r="D215" s="4" t="s">
        <v>58</v>
      </c>
      <c r="F215" s="8">
        <v>3710181044631</v>
      </c>
      <c r="G215" s="6" t="s">
        <v>233</v>
      </c>
      <c r="H215" s="4" t="s">
        <v>192</v>
      </c>
      <c r="J215" s="1" t="s">
        <v>28</v>
      </c>
      <c r="K215" s="4">
        <v>1.1200000000000001</v>
      </c>
      <c r="L215" s="4">
        <v>916.45600000000002</v>
      </c>
      <c r="M215" s="6">
        <v>18</v>
      </c>
      <c r="N215" s="6">
        <f t="shared" si="12"/>
        <v>184.7575296</v>
      </c>
      <c r="O215" s="1">
        <v>4</v>
      </c>
      <c r="P215" s="1">
        <f t="shared" si="14"/>
        <v>41.057228800000004</v>
      </c>
      <c r="Q215" s="6">
        <f t="shared" si="13"/>
        <v>1026.4307200000001</v>
      </c>
      <c r="X215" s="6">
        <f t="shared" si="15"/>
        <v>1252.2454784000001</v>
      </c>
      <c r="AB215" s="4" t="s">
        <v>234</v>
      </c>
      <c r="AC215" s="4" t="s">
        <v>232</v>
      </c>
    </row>
    <row r="216" spans="1:29" ht="33.75" customHeight="1" x14ac:dyDescent="0.35">
      <c r="A216" s="4" t="s">
        <v>31</v>
      </c>
      <c r="B216" s="4">
        <v>26055507</v>
      </c>
      <c r="C216" s="4" t="s">
        <v>27</v>
      </c>
      <c r="D216" s="4" t="s">
        <v>58</v>
      </c>
      <c r="F216" s="8">
        <v>3710181044631</v>
      </c>
      <c r="G216" s="6" t="s">
        <v>233</v>
      </c>
      <c r="H216" s="4" t="s">
        <v>213</v>
      </c>
      <c r="J216" s="1" t="s">
        <v>28</v>
      </c>
      <c r="K216" s="4">
        <v>0.70399999999999996</v>
      </c>
      <c r="L216" s="4">
        <v>981.09439999999995</v>
      </c>
      <c r="M216" s="6">
        <v>18</v>
      </c>
      <c r="N216" s="6">
        <f t="shared" si="12"/>
        <v>124.32428236799998</v>
      </c>
      <c r="O216" s="1">
        <v>4</v>
      </c>
      <c r="P216" s="1">
        <f t="shared" si="14"/>
        <v>27.627618303999999</v>
      </c>
      <c r="Q216" s="6">
        <f t="shared" si="13"/>
        <v>690.69045759999995</v>
      </c>
      <c r="X216" s="6">
        <f t="shared" si="15"/>
        <v>842.64235827199991</v>
      </c>
      <c r="AB216" s="4" t="s">
        <v>234</v>
      </c>
      <c r="AC216" s="4" t="s">
        <v>232</v>
      </c>
    </row>
    <row r="217" spans="1:29" ht="33.75" customHeight="1" x14ac:dyDescent="0.35">
      <c r="A217" s="4" t="s">
        <v>31</v>
      </c>
      <c r="B217" s="4">
        <v>26055507</v>
      </c>
      <c r="C217" s="4" t="s">
        <v>27</v>
      </c>
      <c r="D217" s="4" t="s">
        <v>58</v>
      </c>
      <c r="F217" s="8">
        <v>3710181044631</v>
      </c>
      <c r="G217" s="13">
        <v>2005.2</v>
      </c>
      <c r="H217" s="4" t="s">
        <v>178</v>
      </c>
      <c r="J217" s="1" t="s">
        <v>28</v>
      </c>
      <c r="K217" s="4">
        <v>0.68799999999999994</v>
      </c>
      <c r="L217" s="4">
        <v>845.39840000000004</v>
      </c>
      <c r="M217" s="6">
        <v>18</v>
      </c>
      <c r="N217" s="6">
        <f t="shared" si="12"/>
        <v>104.69413785599998</v>
      </c>
      <c r="O217" s="1">
        <v>4</v>
      </c>
      <c r="P217" s="1">
        <f t="shared" si="14"/>
        <v>23.265363967999996</v>
      </c>
      <c r="Q217" s="6">
        <f t="shared" si="13"/>
        <v>581.63409919999992</v>
      </c>
      <c r="X217" s="6">
        <f t="shared" si="15"/>
        <v>709.5936010239999</v>
      </c>
      <c r="AB217" s="4" t="s">
        <v>234</v>
      </c>
      <c r="AC217" s="4" t="s">
        <v>232</v>
      </c>
    </row>
    <row r="218" spans="1:29" ht="33.75" customHeight="1" x14ac:dyDescent="0.35">
      <c r="A218" s="4" t="s">
        <v>31</v>
      </c>
      <c r="B218" s="4">
        <v>26055507</v>
      </c>
      <c r="C218" s="4" t="s">
        <v>27</v>
      </c>
      <c r="D218" s="4" t="s">
        <v>58</v>
      </c>
      <c r="F218" s="8">
        <v>3710181044631</v>
      </c>
      <c r="G218" s="6" t="s">
        <v>233</v>
      </c>
      <c r="H218" s="4" t="s">
        <v>194</v>
      </c>
      <c r="J218" s="1" t="s">
        <v>28</v>
      </c>
      <c r="K218" s="4">
        <v>0.84</v>
      </c>
      <c r="L218" s="4">
        <v>920.95799999999997</v>
      </c>
      <c r="M218" s="6">
        <v>18</v>
      </c>
      <c r="N218" s="6">
        <f t="shared" si="12"/>
        <v>139.24884959999997</v>
      </c>
      <c r="O218" s="1">
        <v>4</v>
      </c>
      <c r="P218" s="1">
        <f t="shared" si="14"/>
        <v>30.944188799999996</v>
      </c>
      <c r="Q218" s="6">
        <f t="shared" si="13"/>
        <v>773.60471999999993</v>
      </c>
      <c r="X218" s="6">
        <f t="shared" si="15"/>
        <v>943.79775839999991</v>
      </c>
      <c r="AB218" s="4" t="s">
        <v>234</v>
      </c>
      <c r="AC218" s="4" t="s">
        <v>232</v>
      </c>
    </row>
    <row r="219" spans="1:29" ht="33.75" customHeight="1" x14ac:dyDescent="0.35">
      <c r="A219" s="4" t="s">
        <v>31</v>
      </c>
      <c r="B219" s="4">
        <v>26055508</v>
      </c>
      <c r="C219" s="4" t="s">
        <v>27</v>
      </c>
      <c r="D219" s="4" t="s">
        <v>121</v>
      </c>
      <c r="F219" s="8">
        <v>3830223181813</v>
      </c>
      <c r="G219" s="13">
        <v>2005.2</v>
      </c>
      <c r="H219" s="4" t="s">
        <v>212</v>
      </c>
      <c r="J219" s="1" t="s">
        <v>28</v>
      </c>
      <c r="K219" s="4">
        <v>3.3000000000000002E-2</v>
      </c>
      <c r="L219" s="4">
        <v>45.917999999999999</v>
      </c>
      <c r="M219" s="6">
        <v>18</v>
      </c>
      <c r="N219" s="6">
        <f t="shared" si="12"/>
        <v>0.27275292000000001</v>
      </c>
      <c r="O219" s="1">
        <v>4</v>
      </c>
      <c r="P219" s="1">
        <f t="shared" si="14"/>
        <v>6.0611760000000008E-2</v>
      </c>
      <c r="Q219" s="6">
        <f t="shared" si="13"/>
        <v>1.5152940000000001</v>
      </c>
      <c r="X219" s="6">
        <f t="shared" si="15"/>
        <v>1.8486586800000002</v>
      </c>
      <c r="AB219" s="4" t="s">
        <v>234</v>
      </c>
      <c r="AC219" s="4" t="s">
        <v>232</v>
      </c>
    </row>
    <row r="220" spans="1:29" ht="33.75" customHeight="1" x14ac:dyDescent="0.35">
      <c r="A220" s="4" t="s">
        <v>31</v>
      </c>
      <c r="B220" s="4">
        <v>26055508</v>
      </c>
      <c r="C220" s="4" t="s">
        <v>27</v>
      </c>
      <c r="D220" s="4" t="s">
        <v>121</v>
      </c>
      <c r="F220" s="8">
        <v>3830223181813</v>
      </c>
      <c r="G220" s="13">
        <v>2005.2</v>
      </c>
      <c r="H220" s="4" t="s">
        <v>177</v>
      </c>
      <c r="J220" s="1" t="s">
        <v>28</v>
      </c>
      <c r="K220" s="4">
        <v>0.69599999999999995</v>
      </c>
      <c r="L220" s="4">
        <v>905.82960000000003</v>
      </c>
      <c r="M220" s="6">
        <v>18</v>
      </c>
      <c r="N220" s="6">
        <f t="shared" si="12"/>
        <v>113.48233228799999</v>
      </c>
      <c r="O220" s="1">
        <v>4</v>
      </c>
      <c r="P220" s="1">
        <f t="shared" si="14"/>
        <v>25.218296064</v>
      </c>
      <c r="Q220" s="6">
        <f t="shared" si="13"/>
        <v>630.45740160000003</v>
      </c>
      <c r="X220" s="6">
        <f t="shared" si="15"/>
        <v>769.15802995199999</v>
      </c>
      <c r="AB220" s="4" t="s">
        <v>234</v>
      </c>
      <c r="AC220" s="4" t="s">
        <v>232</v>
      </c>
    </row>
    <row r="221" spans="1:29" ht="33.75" customHeight="1" x14ac:dyDescent="0.35">
      <c r="A221" s="4" t="s">
        <v>31</v>
      </c>
      <c r="B221" s="4">
        <v>26055509</v>
      </c>
      <c r="C221" s="4" t="s">
        <v>27</v>
      </c>
      <c r="D221" s="4" t="s">
        <v>122</v>
      </c>
      <c r="F221" s="7">
        <v>9999999</v>
      </c>
      <c r="G221" s="13">
        <v>2005.2</v>
      </c>
      <c r="H221" s="4" t="s">
        <v>216</v>
      </c>
      <c r="J221" s="1" t="s">
        <v>28</v>
      </c>
      <c r="K221" s="4">
        <v>3.3000000000000002E-2</v>
      </c>
      <c r="L221" s="4">
        <v>45.917999999999999</v>
      </c>
      <c r="M221" s="6">
        <v>18</v>
      </c>
      <c r="N221" s="6">
        <f t="shared" si="12"/>
        <v>0.27275292000000001</v>
      </c>
      <c r="O221" s="1">
        <v>4</v>
      </c>
      <c r="P221" s="1">
        <f t="shared" si="14"/>
        <v>6.0611760000000008E-2</v>
      </c>
      <c r="Q221" s="6">
        <f t="shared" si="13"/>
        <v>1.5152940000000001</v>
      </c>
      <c r="X221" s="6">
        <f t="shared" si="15"/>
        <v>1.8486586800000002</v>
      </c>
      <c r="AB221" s="4" t="s">
        <v>234</v>
      </c>
      <c r="AC221" s="4" t="s">
        <v>232</v>
      </c>
    </row>
    <row r="222" spans="1:29" ht="33.75" customHeight="1" x14ac:dyDescent="0.35">
      <c r="A222" s="4" t="s">
        <v>31</v>
      </c>
      <c r="B222" s="4">
        <v>26055509</v>
      </c>
      <c r="C222" s="4" t="s">
        <v>27</v>
      </c>
      <c r="D222" s="4" t="s">
        <v>122</v>
      </c>
      <c r="F222" s="7">
        <v>9999999</v>
      </c>
      <c r="G222" s="13">
        <v>2005.2</v>
      </c>
      <c r="H222" s="4" t="s">
        <v>189</v>
      </c>
      <c r="J222" s="1" t="s">
        <v>28</v>
      </c>
      <c r="K222" s="4">
        <v>2.0640000000000001</v>
      </c>
      <c r="L222" s="4">
        <v>2536.1952000000001</v>
      </c>
      <c r="M222" s="6">
        <v>18</v>
      </c>
      <c r="N222" s="6">
        <f t="shared" si="12"/>
        <v>942.24724070400009</v>
      </c>
      <c r="O222" s="1">
        <v>4</v>
      </c>
      <c r="P222" s="1">
        <f t="shared" si="14"/>
        <v>209.38827571200002</v>
      </c>
      <c r="Q222" s="6">
        <f t="shared" si="13"/>
        <v>5234.7068928000008</v>
      </c>
      <c r="X222" s="6">
        <f t="shared" si="15"/>
        <v>6386.3424092160012</v>
      </c>
      <c r="AB222" s="4" t="s">
        <v>234</v>
      </c>
      <c r="AC222" s="4" t="s">
        <v>232</v>
      </c>
    </row>
    <row r="223" spans="1:29" ht="33.75" customHeight="1" x14ac:dyDescent="0.35">
      <c r="A223" s="4" t="s">
        <v>31</v>
      </c>
      <c r="B223" s="4">
        <v>26055510</v>
      </c>
      <c r="C223" s="4" t="s">
        <v>27</v>
      </c>
      <c r="D223" s="4" t="s">
        <v>123</v>
      </c>
      <c r="F223" s="7">
        <v>9999999</v>
      </c>
      <c r="G223" s="13">
        <v>2005.2</v>
      </c>
      <c r="H223" s="4" t="s">
        <v>216</v>
      </c>
      <c r="J223" s="1" t="s">
        <v>28</v>
      </c>
      <c r="K223" s="4">
        <v>1.7929999999999999</v>
      </c>
      <c r="L223" s="4">
        <v>2370.1341000000002</v>
      </c>
      <c r="M223" s="6">
        <v>18</v>
      </c>
      <c r="N223" s="6">
        <f t="shared" si="12"/>
        <v>764.937079434</v>
      </c>
      <c r="O223" s="1">
        <v>4</v>
      </c>
      <c r="P223" s="1">
        <f t="shared" si="14"/>
        <v>169.98601765200002</v>
      </c>
      <c r="Q223" s="6">
        <f t="shared" si="13"/>
        <v>4249.6504413000002</v>
      </c>
      <c r="X223" s="6">
        <f t="shared" si="15"/>
        <v>5184.5735383860001</v>
      </c>
      <c r="AB223" s="4" t="s">
        <v>234</v>
      </c>
      <c r="AC223" s="4" t="s">
        <v>232</v>
      </c>
    </row>
    <row r="224" spans="1:29" ht="33.75" customHeight="1" x14ac:dyDescent="0.35">
      <c r="A224" s="4" t="s">
        <v>31</v>
      </c>
      <c r="B224" s="4">
        <v>26055510</v>
      </c>
      <c r="C224" s="4" t="s">
        <v>27</v>
      </c>
      <c r="D224" s="4" t="s">
        <v>123</v>
      </c>
      <c r="F224" s="7">
        <v>9999999</v>
      </c>
      <c r="G224" s="13">
        <v>2005.2</v>
      </c>
      <c r="H224" s="4" t="s">
        <v>181</v>
      </c>
      <c r="J224" s="1" t="s">
        <v>28</v>
      </c>
      <c r="K224" s="4">
        <v>1.44</v>
      </c>
      <c r="L224" s="4">
        <v>1721.0762</v>
      </c>
      <c r="M224" s="6">
        <v>18</v>
      </c>
      <c r="N224" s="6">
        <f t="shared" si="12"/>
        <v>446.10295103999994</v>
      </c>
      <c r="O224" s="1">
        <v>4</v>
      </c>
      <c r="P224" s="1">
        <f t="shared" si="14"/>
        <v>99.133989119999981</v>
      </c>
      <c r="Q224" s="6">
        <f t="shared" si="13"/>
        <v>2478.3497279999997</v>
      </c>
      <c r="X224" s="6">
        <f t="shared" si="15"/>
        <v>3023.5866681599996</v>
      </c>
      <c r="AB224" s="4" t="s">
        <v>234</v>
      </c>
      <c r="AC224" s="4" t="s">
        <v>232</v>
      </c>
    </row>
    <row r="225" spans="1:29" ht="33.75" customHeight="1" x14ac:dyDescent="0.35">
      <c r="A225" s="4" t="s">
        <v>31</v>
      </c>
      <c r="B225" s="4">
        <v>26055510</v>
      </c>
      <c r="C225" s="4" t="s">
        <v>27</v>
      </c>
      <c r="D225" s="4" t="s">
        <v>123</v>
      </c>
      <c r="F225" s="7">
        <v>9999999</v>
      </c>
      <c r="G225" s="13">
        <v>2005.2</v>
      </c>
      <c r="H225" s="4" t="s">
        <v>182</v>
      </c>
      <c r="J225" s="1" t="s">
        <v>28</v>
      </c>
      <c r="K225" s="4">
        <v>1.44</v>
      </c>
      <c r="L225" s="4">
        <v>1721.0762</v>
      </c>
      <c r="M225" s="6">
        <v>18</v>
      </c>
      <c r="N225" s="6">
        <f t="shared" si="12"/>
        <v>446.10295103999994</v>
      </c>
      <c r="O225" s="1">
        <v>4</v>
      </c>
      <c r="P225" s="1">
        <f t="shared" si="14"/>
        <v>99.133989119999981</v>
      </c>
      <c r="Q225" s="6">
        <f t="shared" si="13"/>
        <v>2478.3497279999997</v>
      </c>
      <c r="X225" s="6">
        <f t="shared" si="15"/>
        <v>3023.5866681599996</v>
      </c>
      <c r="AB225" s="4" t="s">
        <v>234</v>
      </c>
      <c r="AC225" s="4" t="s">
        <v>232</v>
      </c>
    </row>
    <row r="226" spans="1:29" ht="33.75" customHeight="1" x14ac:dyDescent="0.35">
      <c r="A226" s="4" t="s">
        <v>31</v>
      </c>
      <c r="B226" s="4">
        <v>26055510</v>
      </c>
      <c r="C226" s="4" t="s">
        <v>27</v>
      </c>
      <c r="D226" s="4" t="s">
        <v>123</v>
      </c>
      <c r="F226" s="7">
        <v>9999999</v>
      </c>
      <c r="G226" s="13">
        <v>2005.2</v>
      </c>
      <c r="H226" s="4" t="s">
        <v>163</v>
      </c>
      <c r="J226" s="1" t="s">
        <v>28</v>
      </c>
      <c r="K226" s="4">
        <v>2.16</v>
      </c>
      <c r="L226" s="4">
        <v>2394.1003000000001</v>
      </c>
      <c r="M226" s="6">
        <v>18</v>
      </c>
      <c r="N226" s="6">
        <f t="shared" si="12"/>
        <v>930.82619664000003</v>
      </c>
      <c r="O226" s="1">
        <v>4</v>
      </c>
      <c r="P226" s="1">
        <f t="shared" si="14"/>
        <v>206.85026592000003</v>
      </c>
      <c r="Q226" s="6">
        <f t="shared" si="13"/>
        <v>5171.2566480000005</v>
      </c>
      <c r="X226" s="6">
        <f t="shared" si="15"/>
        <v>6308.9331105600013</v>
      </c>
      <c r="AB226" s="4" t="s">
        <v>234</v>
      </c>
      <c r="AC226" s="4" t="s">
        <v>232</v>
      </c>
    </row>
    <row r="227" spans="1:29" ht="33.75" customHeight="1" x14ac:dyDescent="0.35">
      <c r="A227" s="4" t="s">
        <v>31</v>
      </c>
      <c r="B227" s="4">
        <v>26055510</v>
      </c>
      <c r="C227" s="4" t="s">
        <v>27</v>
      </c>
      <c r="D227" s="4" t="s">
        <v>123</v>
      </c>
      <c r="F227" s="7">
        <v>9999999</v>
      </c>
      <c r="G227" s="6" t="s">
        <v>233</v>
      </c>
      <c r="H227" s="4" t="s">
        <v>209</v>
      </c>
      <c r="J227" s="1" t="s">
        <v>28</v>
      </c>
      <c r="K227" s="4">
        <v>2.2400000000000002</v>
      </c>
      <c r="L227" s="4">
        <v>1741.2664</v>
      </c>
      <c r="M227" s="6">
        <v>18</v>
      </c>
      <c r="N227" s="6">
        <f t="shared" si="12"/>
        <v>702.07861247999995</v>
      </c>
      <c r="O227" s="1">
        <v>4</v>
      </c>
      <c r="P227" s="1">
        <f t="shared" si="14"/>
        <v>156.01746944000001</v>
      </c>
      <c r="Q227" s="6">
        <f t="shared" si="13"/>
        <v>3900.4367360000001</v>
      </c>
      <c r="X227" s="6">
        <f t="shared" si="15"/>
        <v>4758.5328179200005</v>
      </c>
      <c r="AB227" s="4" t="s">
        <v>234</v>
      </c>
      <c r="AC227" s="4" t="s">
        <v>232</v>
      </c>
    </row>
    <row r="228" spans="1:29" ht="33.75" customHeight="1" x14ac:dyDescent="0.35">
      <c r="A228" s="4" t="s">
        <v>31</v>
      </c>
      <c r="B228" s="4">
        <v>26055510</v>
      </c>
      <c r="C228" s="4" t="s">
        <v>27</v>
      </c>
      <c r="D228" s="4" t="s">
        <v>123</v>
      </c>
      <c r="F228" s="7">
        <v>9999999</v>
      </c>
      <c r="G228" s="6" t="s">
        <v>233</v>
      </c>
      <c r="H228" s="4" t="s">
        <v>164</v>
      </c>
      <c r="J228" s="1" t="s">
        <v>28</v>
      </c>
      <c r="K228" s="4">
        <v>0.99199999999999999</v>
      </c>
      <c r="L228" s="4">
        <v>1157.7931000000001</v>
      </c>
      <c r="M228" s="6">
        <v>18</v>
      </c>
      <c r="N228" s="6">
        <f t="shared" si="12"/>
        <v>206.73553593600002</v>
      </c>
      <c r="O228" s="1">
        <v>4</v>
      </c>
      <c r="P228" s="1">
        <f t="shared" si="14"/>
        <v>45.941230208000007</v>
      </c>
      <c r="Q228" s="6">
        <f t="shared" si="13"/>
        <v>1148.5307552000002</v>
      </c>
      <c r="X228" s="6">
        <f t="shared" si="15"/>
        <v>1401.2075213440003</v>
      </c>
      <c r="AB228" s="4" t="s">
        <v>234</v>
      </c>
      <c r="AC228" s="4" t="s">
        <v>232</v>
      </c>
    </row>
    <row r="229" spans="1:29" ht="33.75" customHeight="1" x14ac:dyDescent="0.35">
      <c r="A229" s="4" t="s">
        <v>31</v>
      </c>
      <c r="B229" s="4">
        <v>26055510</v>
      </c>
      <c r="C229" s="4" t="s">
        <v>27</v>
      </c>
      <c r="D229" s="4" t="s">
        <v>123</v>
      </c>
      <c r="F229" s="7">
        <v>9999999</v>
      </c>
      <c r="G229" s="6" t="s">
        <v>233</v>
      </c>
      <c r="H229" s="4" t="s">
        <v>186</v>
      </c>
      <c r="J229" s="1" t="s">
        <v>28</v>
      </c>
      <c r="K229" s="4">
        <v>1.0880000000000001</v>
      </c>
      <c r="L229" s="4">
        <v>928.85979999999995</v>
      </c>
      <c r="M229" s="6">
        <v>18</v>
      </c>
      <c r="N229" s="6">
        <f t="shared" si="12"/>
        <v>181.907903232</v>
      </c>
      <c r="O229" s="1">
        <v>4</v>
      </c>
      <c r="P229" s="1">
        <f t="shared" si="14"/>
        <v>40.423978495999997</v>
      </c>
      <c r="Q229" s="6">
        <f t="shared" si="13"/>
        <v>1010.5994624</v>
      </c>
      <c r="X229" s="6">
        <f t="shared" si="15"/>
        <v>1232.9313441280001</v>
      </c>
      <c r="AB229" s="4" t="s">
        <v>234</v>
      </c>
      <c r="AC229" s="4" t="s">
        <v>232</v>
      </c>
    </row>
    <row r="230" spans="1:29" ht="33.75" customHeight="1" x14ac:dyDescent="0.35">
      <c r="A230" s="4" t="s">
        <v>31</v>
      </c>
      <c r="B230" s="4">
        <v>26055510</v>
      </c>
      <c r="C230" s="4" t="s">
        <v>27</v>
      </c>
      <c r="D230" s="4" t="s">
        <v>123</v>
      </c>
      <c r="F230" s="7">
        <v>9999999</v>
      </c>
      <c r="G230" s="6" t="s">
        <v>233</v>
      </c>
      <c r="H230" s="4" t="s">
        <v>187</v>
      </c>
      <c r="J230" s="1" t="s">
        <v>28</v>
      </c>
      <c r="K230" s="4">
        <v>0.64800000000000002</v>
      </c>
      <c r="L230" s="4">
        <v>783.69640000000004</v>
      </c>
      <c r="M230" s="6">
        <v>18</v>
      </c>
      <c r="N230" s="6">
        <f t="shared" si="12"/>
        <v>91.410348096000007</v>
      </c>
      <c r="O230" s="1">
        <v>4</v>
      </c>
      <c r="P230" s="1">
        <f t="shared" si="14"/>
        <v>20.313410688000001</v>
      </c>
      <c r="Q230" s="6">
        <f t="shared" si="13"/>
        <v>507.83526720000003</v>
      </c>
      <c r="X230" s="6">
        <f t="shared" si="15"/>
        <v>619.55902598400007</v>
      </c>
      <c r="AB230" s="4" t="s">
        <v>234</v>
      </c>
      <c r="AC230" s="4" t="s">
        <v>232</v>
      </c>
    </row>
    <row r="231" spans="1:29" ht="33.75" customHeight="1" x14ac:dyDescent="0.35">
      <c r="A231" s="4" t="s">
        <v>31</v>
      </c>
      <c r="B231" s="4">
        <v>26055510</v>
      </c>
      <c r="C231" s="4" t="s">
        <v>27</v>
      </c>
      <c r="D231" s="4" t="s">
        <v>123</v>
      </c>
      <c r="F231" s="7">
        <v>9999999</v>
      </c>
      <c r="G231" s="13">
        <v>2005.2</v>
      </c>
      <c r="H231" s="4" t="s">
        <v>188</v>
      </c>
      <c r="J231" s="1" t="s">
        <v>28</v>
      </c>
      <c r="K231" s="4">
        <v>1.3919999999999999</v>
      </c>
      <c r="L231" s="4">
        <v>1721.0762</v>
      </c>
      <c r="M231" s="6">
        <v>18</v>
      </c>
      <c r="N231" s="6">
        <f t="shared" si="12"/>
        <v>431.23285267199992</v>
      </c>
      <c r="O231" s="1">
        <v>4</v>
      </c>
      <c r="P231" s="1">
        <f t="shared" si="14"/>
        <v>95.829522815999994</v>
      </c>
      <c r="Q231" s="6">
        <f t="shared" si="13"/>
        <v>2395.7380703999997</v>
      </c>
      <c r="X231" s="6">
        <f t="shared" si="15"/>
        <v>2922.8004458879996</v>
      </c>
      <c r="AB231" s="4" t="s">
        <v>234</v>
      </c>
      <c r="AC231" s="4" t="s">
        <v>232</v>
      </c>
    </row>
    <row r="232" spans="1:29" ht="33.75" customHeight="1" x14ac:dyDescent="0.35">
      <c r="A232" s="4" t="s">
        <v>31</v>
      </c>
      <c r="B232" s="4">
        <v>26055511</v>
      </c>
      <c r="C232" s="4" t="s">
        <v>27</v>
      </c>
      <c r="D232" s="4" t="s">
        <v>124</v>
      </c>
      <c r="F232" s="7">
        <v>9999999</v>
      </c>
      <c r="G232" s="6" t="s">
        <v>233</v>
      </c>
      <c r="H232" s="4" t="s">
        <v>209</v>
      </c>
      <c r="J232" s="1" t="s">
        <v>28</v>
      </c>
      <c r="K232" s="4">
        <v>1.1200000000000001</v>
      </c>
      <c r="L232" s="4">
        <v>879.79780000000005</v>
      </c>
      <c r="M232" s="6">
        <v>18</v>
      </c>
      <c r="N232" s="6">
        <f t="shared" si="12"/>
        <v>177.36723648000003</v>
      </c>
      <c r="O232" s="1">
        <v>4</v>
      </c>
      <c r="P232" s="1">
        <f t="shared" si="14"/>
        <v>39.414941440000007</v>
      </c>
      <c r="Q232" s="6">
        <f t="shared" si="13"/>
        <v>985.37353600000017</v>
      </c>
      <c r="X232" s="6">
        <f t="shared" si="15"/>
        <v>1202.1557139200004</v>
      </c>
      <c r="AB232" s="4" t="s">
        <v>234</v>
      </c>
      <c r="AC232" s="4" t="s">
        <v>232</v>
      </c>
    </row>
    <row r="233" spans="1:29" ht="33.75" customHeight="1" x14ac:dyDescent="0.35">
      <c r="A233" s="4" t="s">
        <v>31</v>
      </c>
      <c r="B233" s="4">
        <v>26055511</v>
      </c>
      <c r="C233" s="4" t="s">
        <v>27</v>
      </c>
      <c r="D233" s="4" t="s">
        <v>124</v>
      </c>
      <c r="F233" s="7">
        <v>9999999</v>
      </c>
      <c r="G233" s="13">
        <v>2005.2</v>
      </c>
      <c r="H233" s="4" t="s">
        <v>188</v>
      </c>
      <c r="J233" s="1" t="s">
        <v>28</v>
      </c>
      <c r="K233" s="4">
        <v>0.69599999999999995</v>
      </c>
      <c r="L233" s="4">
        <v>869.59640000000002</v>
      </c>
      <c r="M233" s="6">
        <v>18</v>
      </c>
      <c r="N233" s="6">
        <f t="shared" si="12"/>
        <v>108.94303699199999</v>
      </c>
      <c r="O233" s="1">
        <v>4</v>
      </c>
      <c r="P233" s="1">
        <f t="shared" si="14"/>
        <v>24.209563776</v>
      </c>
      <c r="Q233" s="6">
        <f t="shared" si="13"/>
        <v>605.2390944</v>
      </c>
      <c r="X233" s="6">
        <f t="shared" si="15"/>
        <v>738.39169516799996</v>
      </c>
      <c r="AB233" s="4" t="s">
        <v>234</v>
      </c>
      <c r="AC233" s="4" t="s">
        <v>232</v>
      </c>
    </row>
    <row r="234" spans="1:29" ht="33.75" customHeight="1" x14ac:dyDescent="0.35">
      <c r="A234" s="4" t="s">
        <v>31</v>
      </c>
      <c r="B234" s="4">
        <v>26055512</v>
      </c>
      <c r="C234" s="4" t="s">
        <v>27</v>
      </c>
      <c r="D234" s="4" t="s">
        <v>125</v>
      </c>
      <c r="F234" s="7">
        <v>9999999</v>
      </c>
      <c r="G234" s="13">
        <v>2005.2</v>
      </c>
      <c r="H234" s="4" t="s">
        <v>205</v>
      </c>
      <c r="J234" s="1" t="s">
        <v>28</v>
      </c>
      <c r="K234" s="4">
        <v>0.86399999999999999</v>
      </c>
      <c r="L234" s="4">
        <v>903.80039999999997</v>
      </c>
      <c r="M234" s="6">
        <v>18</v>
      </c>
      <c r="N234" s="6">
        <f t="shared" si="12"/>
        <v>140.55903820799998</v>
      </c>
      <c r="O234" s="1">
        <v>4</v>
      </c>
      <c r="P234" s="1">
        <f t="shared" si="14"/>
        <v>31.235341823999999</v>
      </c>
      <c r="Q234" s="6">
        <f t="shared" si="13"/>
        <v>780.88354559999993</v>
      </c>
      <c r="X234" s="6">
        <f t="shared" si="15"/>
        <v>952.67792563199987</v>
      </c>
      <c r="AB234" s="4" t="s">
        <v>234</v>
      </c>
      <c r="AC234" s="4" t="s">
        <v>232</v>
      </c>
    </row>
    <row r="235" spans="1:29" ht="33.75" customHeight="1" x14ac:dyDescent="0.35">
      <c r="A235" s="4" t="s">
        <v>31</v>
      </c>
      <c r="B235" s="4">
        <v>26055512</v>
      </c>
      <c r="C235" s="4" t="s">
        <v>27</v>
      </c>
      <c r="D235" s="4" t="s">
        <v>125</v>
      </c>
      <c r="F235" s="7">
        <v>9999999</v>
      </c>
      <c r="G235" s="13">
        <v>2005.2</v>
      </c>
      <c r="H235" s="4" t="s">
        <v>214</v>
      </c>
      <c r="J235" s="1" t="s">
        <v>28</v>
      </c>
      <c r="K235" s="4">
        <v>0.86399999999999999</v>
      </c>
      <c r="L235" s="4">
        <v>903.80039999999997</v>
      </c>
      <c r="M235" s="6">
        <v>18</v>
      </c>
      <c r="N235" s="6">
        <f t="shared" si="12"/>
        <v>140.55903820799998</v>
      </c>
      <c r="O235" s="1">
        <v>4</v>
      </c>
      <c r="P235" s="1">
        <f t="shared" si="14"/>
        <v>31.235341823999999</v>
      </c>
      <c r="Q235" s="6">
        <f t="shared" si="13"/>
        <v>780.88354559999993</v>
      </c>
      <c r="X235" s="6">
        <f t="shared" si="15"/>
        <v>952.67792563199987</v>
      </c>
      <c r="AB235" s="4" t="s">
        <v>234</v>
      </c>
      <c r="AC235" s="4" t="s">
        <v>232</v>
      </c>
    </row>
    <row r="236" spans="1:29" ht="33.75" customHeight="1" x14ac:dyDescent="0.35">
      <c r="A236" s="4" t="s">
        <v>31</v>
      </c>
      <c r="B236" s="4">
        <v>26055512</v>
      </c>
      <c r="C236" s="4" t="s">
        <v>27</v>
      </c>
      <c r="D236" s="4" t="s">
        <v>125</v>
      </c>
      <c r="F236" s="7">
        <v>9999999</v>
      </c>
      <c r="G236" s="13">
        <v>2005.2</v>
      </c>
      <c r="H236" s="4" t="s">
        <v>163</v>
      </c>
      <c r="J236" s="1" t="s">
        <v>28</v>
      </c>
      <c r="K236" s="4">
        <v>0.72</v>
      </c>
      <c r="L236" s="4">
        <v>840.03520000000003</v>
      </c>
      <c r="M236" s="6">
        <v>18</v>
      </c>
      <c r="N236" s="6">
        <f t="shared" si="12"/>
        <v>108.86856191999999</v>
      </c>
      <c r="O236" s="1">
        <v>4</v>
      </c>
      <c r="P236" s="1">
        <f t="shared" si="14"/>
        <v>24.193013759999999</v>
      </c>
      <c r="Q236" s="6">
        <f t="shared" si="13"/>
        <v>604.82534399999997</v>
      </c>
      <c r="X236" s="6">
        <f t="shared" si="15"/>
        <v>737.88691967999989</v>
      </c>
      <c r="AB236" s="4" t="s">
        <v>234</v>
      </c>
      <c r="AC236" s="4" t="s">
        <v>232</v>
      </c>
    </row>
    <row r="237" spans="1:29" ht="33.75" customHeight="1" x14ac:dyDescent="0.35">
      <c r="A237" s="4" t="s">
        <v>31</v>
      </c>
      <c r="B237" s="4">
        <v>26055513</v>
      </c>
      <c r="C237" s="4" t="s">
        <v>27</v>
      </c>
      <c r="D237" s="4" t="s">
        <v>126</v>
      </c>
      <c r="F237" s="7">
        <v>9999999</v>
      </c>
      <c r="G237" s="13">
        <v>2005.2</v>
      </c>
      <c r="H237" s="4" t="s">
        <v>204</v>
      </c>
      <c r="J237" s="1" t="s">
        <v>28</v>
      </c>
      <c r="K237" s="4">
        <v>0.76800000000000002</v>
      </c>
      <c r="L237" s="4">
        <v>1093.9104</v>
      </c>
      <c r="M237" s="6">
        <v>18</v>
      </c>
      <c r="N237" s="6">
        <f t="shared" si="12"/>
        <v>151.222173696</v>
      </c>
      <c r="O237" s="1">
        <v>4</v>
      </c>
      <c r="P237" s="1">
        <f t="shared" si="14"/>
        <v>33.604927488000001</v>
      </c>
      <c r="Q237" s="6">
        <f t="shared" si="13"/>
        <v>840.12318719999996</v>
      </c>
      <c r="X237" s="6">
        <f t="shared" si="15"/>
        <v>1024.950288384</v>
      </c>
      <c r="AB237" s="4" t="s">
        <v>234</v>
      </c>
      <c r="AC237" s="4" t="s">
        <v>232</v>
      </c>
    </row>
    <row r="238" spans="1:29" ht="33.75" customHeight="1" x14ac:dyDescent="0.35">
      <c r="A238" s="4" t="s">
        <v>31</v>
      </c>
      <c r="B238" s="4">
        <v>26055513</v>
      </c>
      <c r="C238" s="4" t="s">
        <v>27</v>
      </c>
      <c r="D238" s="4" t="s">
        <v>126</v>
      </c>
      <c r="F238" s="7">
        <v>9999999</v>
      </c>
      <c r="G238" s="13">
        <v>2005.2</v>
      </c>
      <c r="H238" s="4" t="s">
        <v>163</v>
      </c>
      <c r="J238" s="1" t="s">
        <v>28</v>
      </c>
      <c r="K238" s="4">
        <v>0.72</v>
      </c>
      <c r="L238" s="4">
        <v>840.03520000000003</v>
      </c>
      <c r="M238" s="6">
        <v>18</v>
      </c>
      <c r="N238" s="6">
        <f t="shared" si="12"/>
        <v>108.86856191999999</v>
      </c>
      <c r="O238" s="1">
        <v>4</v>
      </c>
      <c r="P238" s="1">
        <f t="shared" si="14"/>
        <v>24.193013759999999</v>
      </c>
      <c r="Q238" s="6">
        <f t="shared" si="13"/>
        <v>604.82534399999997</v>
      </c>
      <c r="X238" s="6">
        <f t="shared" si="15"/>
        <v>737.88691967999989</v>
      </c>
      <c r="AB238" s="4" t="s">
        <v>234</v>
      </c>
      <c r="AC238" s="4" t="s">
        <v>232</v>
      </c>
    </row>
    <row r="239" spans="1:29" ht="33.75" customHeight="1" x14ac:dyDescent="0.35">
      <c r="A239" s="4" t="s">
        <v>31</v>
      </c>
      <c r="B239" s="4">
        <v>26055513</v>
      </c>
      <c r="C239" s="4" t="s">
        <v>27</v>
      </c>
      <c r="D239" s="4" t="s">
        <v>126</v>
      </c>
      <c r="F239" s="7">
        <v>9999999</v>
      </c>
      <c r="G239" s="6" t="s">
        <v>233</v>
      </c>
      <c r="H239" s="4" t="s">
        <v>209</v>
      </c>
      <c r="J239" s="1" t="s">
        <v>28</v>
      </c>
      <c r="K239" s="4">
        <v>1.1200000000000001</v>
      </c>
      <c r="L239" s="4">
        <v>916.45600000000002</v>
      </c>
      <c r="M239" s="6">
        <v>18</v>
      </c>
      <c r="N239" s="6">
        <f t="shared" si="12"/>
        <v>184.7575296</v>
      </c>
      <c r="O239" s="1">
        <v>4</v>
      </c>
      <c r="P239" s="1">
        <f t="shared" si="14"/>
        <v>41.057228800000004</v>
      </c>
      <c r="Q239" s="6">
        <f t="shared" si="13"/>
        <v>1026.4307200000001</v>
      </c>
      <c r="X239" s="6">
        <f t="shared" si="15"/>
        <v>1252.2454784000001</v>
      </c>
      <c r="AB239" s="4" t="s">
        <v>234</v>
      </c>
      <c r="AC239" s="4" t="s">
        <v>232</v>
      </c>
    </row>
    <row r="240" spans="1:29" ht="33.75" customHeight="1" x14ac:dyDescent="0.35">
      <c r="A240" s="4" t="s">
        <v>31</v>
      </c>
      <c r="B240" s="4">
        <v>26055514</v>
      </c>
      <c r="C240" s="4" t="s">
        <v>27</v>
      </c>
      <c r="D240" s="4" t="s">
        <v>127</v>
      </c>
      <c r="F240" s="8">
        <v>3710117645717</v>
      </c>
      <c r="G240" s="13">
        <v>2005.2</v>
      </c>
      <c r="H240" s="4" t="s">
        <v>170</v>
      </c>
      <c r="J240" s="1" t="s">
        <v>28</v>
      </c>
      <c r="K240" s="4">
        <v>0.06</v>
      </c>
      <c r="L240" s="4">
        <v>73.221199999999996</v>
      </c>
      <c r="M240" s="6">
        <v>18</v>
      </c>
      <c r="N240" s="6">
        <f t="shared" si="12"/>
        <v>0.79078895999999987</v>
      </c>
      <c r="O240" s="1">
        <v>4</v>
      </c>
      <c r="P240" s="1">
        <f t="shared" si="14"/>
        <v>0.17573087999999998</v>
      </c>
      <c r="Q240" s="6">
        <f t="shared" si="13"/>
        <v>4.3932719999999996</v>
      </c>
      <c r="X240" s="6">
        <f t="shared" si="15"/>
        <v>5.3597918399999989</v>
      </c>
      <c r="AB240" s="4" t="s">
        <v>234</v>
      </c>
      <c r="AC240" s="4" t="s">
        <v>232</v>
      </c>
    </row>
    <row r="241" spans="1:29" ht="33.75" customHeight="1" x14ac:dyDescent="0.35">
      <c r="A241" s="4" t="s">
        <v>31</v>
      </c>
      <c r="B241" s="4">
        <v>26055515</v>
      </c>
      <c r="C241" s="4" t="s">
        <v>27</v>
      </c>
      <c r="D241" s="4" t="s">
        <v>128</v>
      </c>
      <c r="F241" s="7">
        <v>9999999</v>
      </c>
      <c r="G241" s="13">
        <v>2005.2</v>
      </c>
      <c r="H241" s="4" t="s">
        <v>182</v>
      </c>
      <c r="J241" s="1" t="s">
        <v>28</v>
      </c>
      <c r="K241" s="4">
        <v>0.06</v>
      </c>
      <c r="L241" s="4">
        <v>75.485799999999998</v>
      </c>
      <c r="M241" s="6">
        <v>18</v>
      </c>
      <c r="N241" s="6">
        <f t="shared" si="12"/>
        <v>0.8152466399999998</v>
      </c>
      <c r="O241" s="1">
        <v>4</v>
      </c>
      <c r="P241" s="1">
        <f t="shared" si="14"/>
        <v>0.18116591999999998</v>
      </c>
      <c r="Q241" s="6">
        <f t="shared" si="13"/>
        <v>4.5291479999999993</v>
      </c>
      <c r="X241" s="6">
        <f t="shared" si="15"/>
        <v>5.5255605599999988</v>
      </c>
      <c r="AB241" s="4" t="s">
        <v>234</v>
      </c>
      <c r="AC241" s="4" t="s">
        <v>232</v>
      </c>
    </row>
    <row r="242" spans="1:29" ht="33.75" customHeight="1" x14ac:dyDescent="0.35">
      <c r="A242" s="4" t="s">
        <v>31</v>
      </c>
      <c r="B242" s="4">
        <v>26055516</v>
      </c>
      <c r="C242" s="4" t="s">
        <v>27</v>
      </c>
      <c r="D242" s="4" t="s">
        <v>129</v>
      </c>
      <c r="F242" s="7">
        <v>9999999</v>
      </c>
      <c r="G242" s="13">
        <v>2005.2</v>
      </c>
      <c r="H242" s="4" t="s">
        <v>182</v>
      </c>
      <c r="J242" s="1" t="s">
        <v>28</v>
      </c>
      <c r="K242" s="4">
        <v>0.06</v>
      </c>
      <c r="L242" s="4">
        <v>75.485799999999998</v>
      </c>
      <c r="M242" s="6">
        <v>18</v>
      </c>
      <c r="N242" s="6">
        <f t="shared" si="12"/>
        <v>0.8152466399999998</v>
      </c>
      <c r="O242" s="1">
        <v>4</v>
      </c>
      <c r="P242" s="1">
        <f t="shared" si="14"/>
        <v>0.18116591999999998</v>
      </c>
      <c r="Q242" s="6">
        <f t="shared" si="13"/>
        <v>4.5291479999999993</v>
      </c>
      <c r="X242" s="6">
        <f t="shared" si="15"/>
        <v>5.5255605599999988</v>
      </c>
      <c r="AB242" s="4" t="s">
        <v>234</v>
      </c>
      <c r="AC242" s="4" t="s">
        <v>232</v>
      </c>
    </row>
    <row r="243" spans="1:29" ht="33.75" customHeight="1" x14ac:dyDescent="0.35">
      <c r="A243" s="4" t="s">
        <v>31</v>
      </c>
      <c r="B243" s="4">
        <v>26055517</v>
      </c>
      <c r="C243" s="4" t="s">
        <v>27</v>
      </c>
      <c r="D243" s="4" t="s">
        <v>130</v>
      </c>
      <c r="F243" s="7">
        <v>9999999</v>
      </c>
      <c r="G243" s="13">
        <v>2005.2</v>
      </c>
      <c r="H243" s="4" t="s">
        <v>182</v>
      </c>
      <c r="J243" s="1" t="s">
        <v>28</v>
      </c>
      <c r="K243" s="4">
        <v>0.06</v>
      </c>
      <c r="L243" s="4">
        <v>75.485799999999998</v>
      </c>
      <c r="M243" s="6">
        <v>18</v>
      </c>
      <c r="N243" s="6">
        <f t="shared" si="12"/>
        <v>0.8152466399999998</v>
      </c>
      <c r="O243" s="1">
        <v>4</v>
      </c>
      <c r="P243" s="1">
        <f t="shared" si="14"/>
        <v>0.18116591999999998</v>
      </c>
      <c r="Q243" s="6">
        <f t="shared" si="13"/>
        <v>4.5291479999999993</v>
      </c>
      <c r="X243" s="6">
        <f t="shared" si="15"/>
        <v>5.5255605599999988</v>
      </c>
      <c r="AB243" s="4" t="s">
        <v>234</v>
      </c>
      <c r="AC243" s="4" t="s">
        <v>232</v>
      </c>
    </row>
    <row r="244" spans="1:29" ht="33.75" customHeight="1" x14ac:dyDescent="0.35">
      <c r="A244" s="4" t="s">
        <v>31</v>
      </c>
      <c r="B244" s="4">
        <v>26055518</v>
      </c>
      <c r="C244" s="4" t="s">
        <v>27</v>
      </c>
      <c r="D244" s="4" t="s">
        <v>131</v>
      </c>
      <c r="F244" s="8">
        <v>3710190860137</v>
      </c>
      <c r="G244" s="13">
        <v>2005.2</v>
      </c>
      <c r="H244" s="4" t="s">
        <v>169</v>
      </c>
      <c r="J244" s="1" t="s">
        <v>28</v>
      </c>
      <c r="K244" s="4">
        <v>0.72</v>
      </c>
      <c r="L244" s="4">
        <v>905.82960000000003</v>
      </c>
      <c r="M244" s="6">
        <v>18</v>
      </c>
      <c r="N244" s="6">
        <f t="shared" si="12"/>
        <v>117.39551616</v>
      </c>
      <c r="O244" s="1">
        <v>4</v>
      </c>
      <c r="P244" s="1">
        <f t="shared" si="14"/>
        <v>26.087892480000001</v>
      </c>
      <c r="Q244" s="6">
        <f t="shared" si="13"/>
        <v>652.19731200000001</v>
      </c>
      <c r="X244" s="6">
        <f t="shared" si="15"/>
        <v>795.68072064</v>
      </c>
      <c r="AB244" s="4" t="s">
        <v>234</v>
      </c>
      <c r="AC244" s="4" t="s">
        <v>232</v>
      </c>
    </row>
    <row r="245" spans="1:29" ht="33.75" customHeight="1" x14ac:dyDescent="0.35">
      <c r="A245" s="4" t="s">
        <v>31</v>
      </c>
      <c r="B245" s="4">
        <v>26055518</v>
      </c>
      <c r="C245" s="4" t="s">
        <v>27</v>
      </c>
      <c r="D245" s="4" t="s">
        <v>131</v>
      </c>
      <c r="F245" s="8">
        <v>3710190860137</v>
      </c>
      <c r="G245" s="13">
        <v>2005.2</v>
      </c>
      <c r="H245" s="4" t="s">
        <v>170</v>
      </c>
      <c r="J245" s="1" t="s">
        <v>28</v>
      </c>
      <c r="K245" s="4">
        <v>0.72</v>
      </c>
      <c r="L245" s="4">
        <v>905.82960000000003</v>
      </c>
      <c r="M245" s="6">
        <v>18</v>
      </c>
      <c r="N245" s="6">
        <f t="shared" si="12"/>
        <v>117.39551616</v>
      </c>
      <c r="O245" s="1">
        <v>4</v>
      </c>
      <c r="P245" s="1">
        <f t="shared" si="14"/>
        <v>26.087892480000001</v>
      </c>
      <c r="Q245" s="6">
        <f t="shared" si="13"/>
        <v>652.19731200000001</v>
      </c>
      <c r="X245" s="6">
        <f t="shared" si="15"/>
        <v>795.68072064</v>
      </c>
      <c r="AB245" s="4" t="s">
        <v>234</v>
      </c>
      <c r="AC245" s="4" t="s">
        <v>232</v>
      </c>
    </row>
    <row r="246" spans="1:29" ht="33.75" customHeight="1" x14ac:dyDescent="0.35">
      <c r="A246" s="4" t="s">
        <v>31</v>
      </c>
      <c r="B246" s="4">
        <v>26055518</v>
      </c>
      <c r="C246" s="4" t="s">
        <v>27</v>
      </c>
      <c r="D246" s="4" t="s">
        <v>131</v>
      </c>
      <c r="F246" s="8">
        <v>3710190860137</v>
      </c>
      <c r="G246" s="13">
        <v>2005.2</v>
      </c>
      <c r="H246" s="4" t="s">
        <v>172</v>
      </c>
      <c r="J246" s="1" t="s">
        <v>28</v>
      </c>
      <c r="K246" s="4">
        <v>0.72</v>
      </c>
      <c r="L246" s="4">
        <v>845.39840000000004</v>
      </c>
      <c r="M246" s="6">
        <v>18</v>
      </c>
      <c r="N246" s="6">
        <f t="shared" si="12"/>
        <v>109.56363264000001</v>
      </c>
      <c r="O246" s="1">
        <v>4</v>
      </c>
      <c r="P246" s="1">
        <f t="shared" si="14"/>
        <v>24.347473920000002</v>
      </c>
      <c r="Q246" s="6">
        <f t="shared" si="13"/>
        <v>608.68684800000005</v>
      </c>
      <c r="X246" s="6">
        <f t="shared" si="15"/>
        <v>742.59795456000006</v>
      </c>
      <c r="AB246" s="4" t="s">
        <v>234</v>
      </c>
      <c r="AC246" s="4" t="s">
        <v>232</v>
      </c>
    </row>
    <row r="247" spans="1:29" ht="33.75" customHeight="1" x14ac:dyDescent="0.35">
      <c r="A247" s="4" t="s">
        <v>31</v>
      </c>
      <c r="B247" s="4">
        <v>26055518</v>
      </c>
      <c r="C247" s="4" t="s">
        <v>27</v>
      </c>
      <c r="D247" s="4" t="s">
        <v>131</v>
      </c>
      <c r="F247" s="8">
        <v>3710190860137</v>
      </c>
      <c r="G247" s="13">
        <v>2005.2</v>
      </c>
      <c r="H247" s="4" t="s">
        <v>165</v>
      </c>
      <c r="J247" s="1" t="s">
        <v>28</v>
      </c>
      <c r="K247" s="4">
        <v>0.72</v>
      </c>
      <c r="L247" s="4">
        <v>840.03520000000003</v>
      </c>
      <c r="M247" s="6">
        <v>18</v>
      </c>
      <c r="N247" s="6">
        <f t="shared" si="12"/>
        <v>108.86856191999999</v>
      </c>
      <c r="O247" s="1">
        <v>4</v>
      </c>
      <c r="P247" s="1">
        <f t="shared" si="14"/>
        <v>24.193013759999999</v>
      </c>
      <c r="Q247" s="6">
        <f t="shared" si="13"/>
        <v>604.82534399999997</v>
      </c>
      <c r="X247" s="6">
        <f t="shared" si="15"/>
        <v>737.88691967999989</v>
      </c>
      <c r="AB247" s="4" t="s">
        <v>234</v>
      </c>
      <c r="AC247" s="4" t="s">
        <v>232</v>
      </c>
    </row>
    <row r="248" spans="1:29" ht="33.75" customHeight="1" x14ac:dyDescent="0.35">
      <c r="A248" s="4" t="s">
        <v>31</v>
      </c>
      <c r="B248" s="4">
        <v>26055520</v>
      </c>
      <c r="C248" s="4" t="s">
        <v>27</v>
      </c>
      <c r="D248" s="4" t="s">
        <v>132</v>
      </c>
      <c r="F248" s="7">
        <v>9999999</v>
      </c>
      <c r="G248" s="13">
        <v>2005.2</v>
      </c>
      <c r="H248" s="4" t="s">
        <v>182</v>
      </c>
      <c r="J248" s="1" t="s">
        <v>28</v>
      </c>
      <c r="K248" s="4">
        <v>0.06</v>
      </c>
      <c r="L248" s="4">
        <v>73.976100000000002</v>
      </c>
      <c r="M248" s="6">
        <v>18</v>
      </c>
      <c r="N248" s="6">
        <f t="shared" si="12"/>
        <v>0.79894187999999988</v>
      </c>
      <c r="O248" s="1">
        <v>4</v>
      </c>
      <c r="P248" s="1">
        <f t="shared" si="14"/>
        <v>0.17754264</v>
      </c>
      <c r="Q248" s="6">
        <f t="shared" si="13"/>
        <v>4.4385659999999998</v>
      </c>
      <c r="X248" s="6">
        <f t="shared" si="15"/>
        <v>5.4150505200000003</v>
      </c>
      <c r="AB248" s="4" t="s">
        <v>234</v>
      </c>
      <c r="AC248" s="4" t="s">
        <v>232</v>
      </c>
    </row>
    <row r="249" spans="1:29" ht="33.75" customHeight="1" x14ac:dyDescent="0.35">
      <c r="A249" s="4" t="s">
        <v>31</v>
      </c>
      <c r="B249" s="4">
        <v>26055521</v>
      </c>
      <c r="C249" s="4" t="s">
        <v>27</v>
      </c>
      <c r="D249" s="4" t="s">
        <v>133</v>
      </c>
      <c r="F249" s="8">
        <v>3710117777721</v>
      </c>
      <c r="G249" s="13">
        <v>2005.2</v>
      </c>
      <c r="H249" s="4" t="s">
        <v>210</v>
      </c>
      <c r="J249" s="1" t="s">
        <v>28</v>
      </c>
      <c r="K249" s="4">
        <v>0.86399999999999999</v>
      </c>
      <c r="L249" s="4">
        <v>903.80039999999997</v>
      </c>
      <c r="M249" s="6">
        <v>18</v>
      </c>
      <c r="N249" s="6">
        <f t="shared" si="12"/>
        <v>140.55903820799998</v>
      </c>
      <c r="O249" s="1">
        <v>4</v>
      </c>
      <c r="P249" s="1">
        <f t="shared" si="14"/>
        <v>31.235341823999999</v>
      </c>
      <c r="Q249" s="6">
        <f t="shared" si="13"/>
        <v>780.88354559999993</v>
      </c>
      <c r="X249" s="6">
        <f t="shared" si="15"/>
        <v>952.67792563199987</v>
      </c>
      <c r="AB249" s="4" t="s">
        <v>234</v>
      </c>
      <c r="AC249" s="4" t="s">
        <v>232</v>
      </c>
    </row>
    <row r="250" spans="1:29" ht="33.75" customHeight="1" x14ac:dyDescent="0.35">
      <c r="A250" s="4" t="s">
        <v>31</v>
      </c>
      <c r="B250" s="4">
        <v>26055521</v>
      </c>
      <c r="C250" s="4" t="s">
        <v>27</v>
      </c>
      <c r="D250" s="4" t="s">
        <v>133</v>
      </c>
      <c r="F250" s="8">
        <v>3710117777721</v>
      </c>
      <c r="G250" s="13">
        <v>2005.2</v>
      </c>
      <c r="H250" s="4" t="s">
        <v>217</v>
      </c>
      <c r="J250" s="1" t="s">
        <v>28</v>
      </c>
      <c r="K250" s="4">
        <v>0.86399999999999999</v>
      </c>
      <c r="L250" s="4">
        <v>903.80039999999997</v>
      </c>
      <c r="M250" s="6">
        <v>18</v>
      </c>
      <c r="N250" s="6">
        <f t="shared" si="12"/>
        <v>140.55903820799998</v>
      </c>
      <c r="O250" s="1">
        <v>4</v>
      </c>
      <c r="P250" s="1">
        <f t="shared" si="14"/>
        <v>31.235341823999999</v>
      </c>
      <c r="Q250" s="6">
        <f t="shared" si="13"/>
        <v>780.88354559999993</v>
      </c>
      <c r="X250" s="6">
        <f t="shared" si="15"/>
        <v>952.67792563199987</v>
      </c>
      <c r="AB250" s="4" t="s">
        <v>234</v>
      </c>
      <c r="AC250" s="4" t="s">
        <v>232</v>
      </c>
    </row>
    <row r="251" spans="1:29" ht="33.75" customHeight="1" x14ac:dyDescent="0.35">
      <c r="A251" s="4" t="s">
        <v>31</v>
      </c>
      <c r="B251" s="4">
        <v>26055521</v>
      </c>
      <c r="C251" s="4" t="s">
        <v>27</v>
      </c>
      <c r="D251" s="4" t="s">
        <v>133</v>
      </c>
      <c r="F251" s="8">
        <v>3710117777721</v>
      </c>
      <c r="G251" s="13">
        <v>2005.2</v>
      </c>
      <c r="H251" s="4" t="s">
        <v>171</v>
      </c>
      <c r="J251" s="1" t="s">
        <v>28</v>
      </c>
      <c r="K251" s="4">
        <v>0.72</v>
      </c>
      <c r="L251" s="4">
        <v>845.39840000000004</v>
      </c>
      <c r="M251" s="6">
        <v>18</v>
      </c>
      <c r="N251" s="6">
        <f t="shared" si="12"/>
        <v>109.56363264000001</v>
      </c>
      <c r="O251" s="1">
        <v>4</v>
      </c>
      <c r="P251" s="1">
        <f t="shared" si="14"/>
        <v>24.347473920000002</v>
      </c>
      <c r="Q251" s="6">
        <f t="shared" si="13"/>
        <v>608.68684800000005</v>
      </c>
      <c r="X251" s="6">
        <f t="shared" si="15"/>
        <v>742.59795456000006</v>
      </c>
      <c r="AB251" s="4" t="s">
        <v>234</v>
      </c>
      <c r="AC251" s="4" t="s">
        <v>232</v>
      </c>
    </row>
    <row r="252" spans="1:29" ht="33.75" customHeight="1" x14ac:dyDescent="0.35">
      <c r="A252" s="4" t="s">
        <v>31</v>
      </c>
      <c r="B252" s="4">
        <v>26055521</v>
      </c>
      <c r="C252" s="4" t="s">
        <v>27</v>
      </c>
      <c r="D252" s="4" t="s">
        <v>133</v>
      </c>
      <c r="F252" s="8">
        <v>3710117777721</v>
      </c>
      <c r="G252" s="13">
        <v>2005.2</v>
      </c>
      <c r="H252" s="4" t="s">
        <v>165</v>
      </c>
      <c r="J252" s="1" t="s">
        <v>28</v>
      </c>
      <c r="K252" s="4">
        <v>0.72</v>
      </c>
      <c r="L252" s="4">
        <v>840.03520000000003</v>
      </c>
      <c r="M252" s="6">
        <v>18</v>
      </c>
      <c r="N252" s="6">
        <f t="shared" si="12"/>
        <v>108.86856191999999</v>
      </c>
      <c r="O252" s="1">
        <v>4</v>
      </c>
      <c r="P252" s="1">
        <f t="shared" si="14"/>
        <v>24.193013759999999</v>
      </c>
      <c r="Q252" s="6">
        <f t="shared" si="13"/>
        <v>604.82534399999997</v>
      </c>
      <c r="X252" s="6">
        <f t="shared" si="15"/>
        <v>737.88691967999989</v>
      </c>
      <c r="AB252" s="4" t="s">
        <v>234</v>
      </c>
      <c r="AC252" s="4" t="s">
        <v>232</v>
      </c>
    </row>
    <row r="253" spans="1:29" ht="33.75" customHeight="1" x14ac:dyDescent="0.35">
      <c r="A253" s="4" t="s">
        <v>31</v>
      </c>
      <c r="B253" s="4">
        <v>26055521</v>
      </c>
      <c r="C253" s="4" t="s">
        <v>27</v>
      </c>
      <c r="D253" s="4" t="s">
        <v>133</v>
      </c>
      <c r="F253" s="8">
        <v>3710117777721</v>
      </c>
      <c r="G253" s="6" t="s">
        <v>233</v>
      </c>
      <c r="H253" s="4" t="s">
        <v>193</v>
      </c>
      <c r="J253" s="1" t="s">
        <v>28</v>
      </c>
      <c r="K253" s="4">
        <v>1.728</v>
      </c>
      <c r="L253" s="4">
        <v>1829.9664</v>
      </c>
      <c r="M253" s="6">
        <v>18</v>
      </c>
      <c r="N253" s="6">
        <f t="shared" si="12"/>
        <v>569.19274905600003</v>
      </c>
      <c r="O253" s="1">
        <v>4</v>
      </c>
      <c r="P253" s="1">
        <f t="shared" si="14"/>
        <v>126.48727756800001</v>
      </c>
      <c r="Q253" s="6">
        <f t="shared" si="13"/>
        <v>3162.1819392000002</v>
      </c>
      <c r="X253" s="6">
        <f t="shared" si="15"/>
        <v>3857.8619658240004</v>
      </c>
      <c r="AB253" s="4" t="s">
        <v>234</v>
      </c>
      <c r="AC253" s="4" t="s">
        <v>232</v>
      </c>
    </row>
    <row r="254" spans="1:29" ht="33.75" customHeight="1" x14ac:dyDescent="0.35">
      <c r="A254" s="4" t="s">
        <v>31</v>
      </c>
      <c r="B254" s="4">
        <v>26055521</v>
      </c>
      <c r="C254" s="4" t="s">
        <v>27</v>
      </c>
      <c r="D254" s="4" t="s">
        <v>133</v>
      </c>
      <c r="F254" s="8">
        <v>3710117777721</v>
      </c>
      <c r="G254" s="6" t="s">
        <v>233</v>
      </c>
      <c r="H254" s="4" t="s">
        <v>224</v>
      </c>
      <c r="J254" s="1" t="s">
        <v>28</v>
      </c>
      <c r="K254" s="4">
        <v>0.98399999999999999</v>
      </c>
      <c r="L254" s="4">
        <v>915.83519999999999</v>
      </c>
      <c r="M254" s="6">
        <v>18</v>
      </c>
      <c r="N254" s="6">
        <f t="shared" si="12"/>
        <v>162.21273062399999</v>
      </c>
      <c r="O254" s="1">
        <v>4</v>
      </c>
      <c r="P254" s="1">
        <f t="shared" si="14"/>
        <v>36.047273472000001</v>
      </c>
      <c r="Q254" s="6">
        <f t="shared" si="13"/>
        <v>901.18183679999993</v>
      </c>
      <c r="X254" s="6">
        <f t="shared" si="15"/>
        <v>1099.4418408959998</v>
      </c>
      <c r="AB254" s="4" t="s">
        <v>234</v>
      </c>
      <c r="AC254" s="4" t="s">
        <v>232</v>
      </c>
    </row>
    <row r="255" spans="1:29" ht="33.75" customHeight="1" x14ac:dyDescent="0.35">
      <c r="A255" s="4" t="s">
        <v>31</v>
      </c>
      <c r="B255" s="4">
        <v>26055521</v>
      </c>
      <c r="C255" s="4" t="s">
        <v>27</v>
      </c>
      <c r="D255" s="4" t="s">
        <v>133</v>
      </c>
      <c r="F255" s="8">
        <v>3710117777721</v>
      </c>
      <c r="G255" s="6" t="s">
        <v>233</v>
      </c>
      <c r="H255" s="4" t="s">
        <v>218</v>
      </c>
      <c r="J255" s="1" t="s">
        <v>28</v>
      </c>
      <c r="K255" s="4">
        <v>0.496</v>
      </c>
      <c r="L255" s="4">
        <v>609.36479999999995</v>
      </c>
      <c r="M255" s="6">
        <v>18</v>
      </c>
      <c r="N255" s="6">
        <f t="shared" si="12"/>
        <v>54.404089343999999</v>
      </c>
      <c r="O255" s="1">
        <v>4</v>
      </c>
      <c r="P255" s="1">
        <f t="shared" si="14"/>
        <v>12.089797632</v>
      </c>
      <c r="Q255" s="6">
        <f t="shared" si="13"/>
        <v>302.24494079999999</v>
      </c>
      <c r="X255" s="6">
        <f t="shared" si="15"/>
        <v>368.73882777599999</v>
      </c>
      <c r="AB255" s="4" t="s">
        <v>234</v>
      </c>
      <c r="AC255" s="4" t="s">
        <v>232</v>
      </c>
    </row>
    <row r="256" spans="1:29" ht="33.75" customHeight="1" x14ac:dyDescent="0.35">
      <c r="A256" s="4" t="s">
        <v>31</v>
      </c>
      <c r="B256" s="4">
        <v>26055521</v>
      </c>
      <c r="C256" s="4" t="s">
        <v>27</v>
      </c>
      <c r="D256" s="4" t="s">
        <v>133</v>
      </c>
      <c r="F256" s="8">
        <v>3710117777721</v>
      </c>
      <c r="G256" s="6" t="s">
        <v>233</v>
      </c>
      <c r="H256" s="4" t="s">
        <v>219</v>
      </c>
      <c r="J256" s="1" t="s">
        <v>28</v>
      </c>
      <c r="K256" s="4">
        <v>0.64800000000000002</v>
      </c>
      <c r="L256" s="4">
        <v>824.94359999999995</v>
      </c>
      <c r="M256" s="6">
        <v>18</v>
      </c>
      <c r="N256" s="6">
        <f t="shared" si="12"/>
        <v>96.221421503999991</v>
      </c>
      <c r="O256" s="1">
        <v>4</v>
      </c>
      <c r="P256" s="1">
        <f t="shared" si="14"/>
        <v>21.382538111999999</v>
      </c>
      <c r="Q256" s="6">
        <f t="shared" si="13"/>
        <v>534.56345279999994</v>
      </c>
      <c r="X256" s="6">
        <f t="shared" si="15"/>
        <v>652.16741241599993</v>
      </c>
      <c r="AB256" s="4" t="s">
        <v>234</v>
      </c>
      <c r="AC256" s="4" t="s">
        <v>232</v>
      </c>
    </row>
    <row r="257" spans="1:29" ht="33.75" customHeight="1" x14ac:dyDescent="0.35">
      <c r="A257" s="4" t="s">
        <v>31</v>
      </c>
      <c r="B257" s="4">
        <v>26055521</v>
      </c>
      <c r="C257" s="4" t="s">
        <v>27</v>
      </c>
      <c r="D257" s="4" t="s">
        <v>133</v>
      </c>
      <c r="F257" s="8">
        <v>3710117777721</v>
      </c>
      <c r="G257" s="13">
        <v>2005.2</v>
      </c>
      <c r="H257" s="4" t="s">
        <v>178</v>
      </c>
      <c r="J257" s="1" t="s">
        <v>28</v>
      </c>
      <c r="K257" s="4">
        <v>0.68799999999999994</v>
      </c>
      <c r="L257" s="4">
        <v>845.39840000000004</v>
      </c>
      <c r="M257" s="6">
        <v>18</v>
      </c>
      <c r="N257" s="6">
        <f t="shared" si="12"/>
        <v>104.69413785599998</v>
      </c>
      <c r="O257" s="1">
        <v>4</v>
      </c>
      <c r="P257" s="1">
        <f t="shared" si="14"/>
        <v>23.265363967999996</v>
      </c>
      <c r="Q257" s="6">
        <f t="shared" si="13"/>
        <v>581.63409919999992</v>
      </c>
      <c r="X257" s="6">
        <f t="shared" si="15"/>
        <v>709.5936010239999</v>
      </c>
      <c r="AB257" s="4" t="s">
        <v>234</v>
      </c>
      <c r="AC257" s="4" t="s">
        <v>232</v>
      </c>
    </row>
    <row r="258" spans="1:29" ht="33.75" customHeight="1" x14ac:dyDescent="0.35">
      <c r="A258" s="4" t="s">
        <v>31</v>
      </c>
      <c r="B258" s="4">
        <v>26055522</v>
      </c>
      <c r="C258" s="4" t="s">
        <v>27</v>
      </c>
      <c r="D258" s="4" t="s">
        <v>134</v>
      </c>
      <c r="F258" s="8">
        <v>3710171262083</v>
      </c>
      <c r="G258" s="13">
        <v>2005.2</v>
      </c>
      <c r="H258" s="4" t="s">
        <v>210</v>
      </c>
      <c r="J258" s="1" t="s">
        <v>28</v>
      </c>
      <c r="K258" s="4">
        <v>0.86399999999999999</v>
      </c>
      <c r="L258" s="4">
        <v>858.61040000000003</v>
      </c>
      <c r="M258" s="6">
        <v>18</v>
      </c>
      <c r="N258" s="6">
        <f t="shared" ref="N258:N321" si="16">K258*L258*(M258%)</f>
        <v>133.53108940799999</v>
      </c>
      <c r="O258" s="1">
        <v>4</v>
      </c>
      <c r="P258" s="1">
        <f t="shared" si="14"/>
        <v>29.673575423999999</v>
      </c>
      <c r="Q258" s="6">
        <f t="shared" ref="Q258:Q321" si="17">K258*L258</f>
        <v>741.83938560000001</v>
      </c>
      <c r="X258" s="6">
        <f t="shared" si="15"/>
        <v>905.04405043199995</v>
      </c>
      <c r="AB258" s="4" t="s">
        <v>234</v>
      </c>
      <c r="AC258" s="4" t="s">
        <v>232</v>
      </c>
    </row>
    <row r="259" spans="1:29" ht="33.75" customHeight="1" x14ac:dyDescent="0.35">
      <c r="A259" s="4" t="s">
        <v>31</v>
      </c>
      <c r="B259" s="4">
        <v>26055522</v>
      </c>
      <c r="C259" s="4" t="s">
        <v>27</v>
      </c>
      <c r="D259" s="4" t="s">
        <v>134</v>
      </c>
      <c r="F259" s="8">
        <v>3710171262083</v>
      </c>
      <c r="G259" s="13">
        <v>2005.2</v>
      </c>
      <c r="H259" s="4" t="s">
        <v>211</v>
      </c>
      <c r="J259" s="1" t="s">
        <v>28</v>
      </c>
      <c r="K259" s="4">
        <v>0.88</v>
      </c>
      <c r="L259" s="4">
        <v>1163.2560000000001</v>
      </c>
      <c r="M259" s="6">
        <v>18</v>
      </c>
      <c r="N259" s="6">
        <f t="shared" si="16"/>
        <v>184.2597504</v>
      </c>
      <c r="O259" s="1">
        <v>4</v>
      </c>
      <c r="P259" s="1">
        <f t="shared" ref="P259:P322" si="18">Q259*4/100</f>
        <v>40.9466112</v>
      </c>
      <c r="Q259" s="6">
        <f t="shared" si="17"/>
        <v>1023.6652800000001</v>
      </c>
      <c r="X259" s="6">
        <f t="shared" ref="X259:X322" si="19">Q259+N259+P259</f>
        <v>1248.8716416</v>
      </c>
      <c r="AB259" s="4" t="s">
        <v>234</v>
      </c>
      <c r="AC259" s="4" t="s">
        <v>232</v>
      </c>
    </row>
    <row r="260" spans="1:29" ht="33.75" customHeight="1" x14ac:dyDescent="0.35">
      <c r="A260" s="4" t="s">
        <v>31</v>
      </c>
      <c r="B260" s="4">
        <v>26055522</v>
      </c>
      <c r="C260" s="4" t="s">
        <v>27</v>
      </c>
      <c r="D260" s="4" t="s">
        <v>134</v>
      </c>
      <c r="F260" s="8">
        <v>3710171262083</v>
      </c>
      <c r="G260" s="13">
        <v>2005.2</v>
      </c>
      <c r="H260" s="4" t="s">
        <v>169</v>
      </c>
      <c r="J260" s="1" t="s">
        <v>28</v>
      </c>
      <c r="K260" s="4">
        <v>1.44</v>
      </c>
      <c r="L260" s="4">
        <v>1721.0762</v>
      </c>
      <c r="M260" s="6">
        <v>18</v>
      </c>
      <c r="N260" s="6">
        <f t="shared" si="16"/>
        <v>446.10295103999994</v>
      </c>
      <c r="O260" s="1">
        <v>4</v>
      </c>
      <c r="P260" s="1">
        <f t="shared" si="18"/>
        <v>99.133989119999981</v>
      </c>
      <c r="Q260" s="6">
        <f t="shared" si="17"/>
        <v>2478.3497279999997</v>
      </c>
      <c r="X260" s="6">
        <f t="shared" si="19"/>
        <v>3023.5866681599996</v>
      </c>
      <c r="AB260" s="4" t="s">
        <v>234</v>
      </c>
      <c r="AC260" s="4" t="s">
        <v>232</v>
      </c>
    </row>
    <row r="261" spans="1:29" ht="33.75" customHeight="1" x14ac:dyDescent="0.35">
      <c r="A261" s="4" t="s">
        <v>31</v>
      </c>
      <c r="B261" s="4">
        <v>26055522</v>
      </c>
      <c r="C261" s="4" t="s">
        <v>27</v>
      </c>
      <c r="D261" s="4" t="s">
        <v>134</v>
      </c>
      <c r="F261" s="8">
        <v>3710171262083</v>
      </c>
      <c r="G261" s="13">
        <v>2005.2</v>
      </c>
      <c r="H261" s="4" t="s">
        <v>170</v>
      </c>
      <c r="J261" s="1" t="s">
        <v>28</v>
      </c>
      <c r="K261" s="4">
        <v>0.72</v>
      </c>
      <c r="L261" s="4">
        <v>860.53809999999999</v>
      </c>
      <c r="M261" s="6">
        <v>18</v>
      </c>
      <c r="N261" s="6">
        <f t="shared" si="16"/>
        <v>111.52573775999998</v>
      </c>
      <c r="O261" s="1">
        <v>4</v>
      </c>
      <c r="P261" s="1">
        <f t="shared" si="18"/>
        <v>24.783497279999995</v>
      </c>
      <c r="Q261" s="6">
        <f t="shared" si="17"/>
        <v>619.58743199999992</v>
      </c>
      <c r="X261" s="6">
        <f t="shared" si="19"/>
        <v>755.8966670399999</v>
      </c>
      <c r="AB261" s="4" t="s">
        <v>234</v>
      </c>
      <c r="AC261" s="4" t="s">
        <v>232</v>
      </c>
    </row>
    <row r="262" spans="1:29" ht="33.75" customHeight="1" x14ac:dyDescent="0.35">
      <c r="A262" s="4" t="s">
        <v>31</v>
      </c>
      <c r="B262" s="4">
        <v>26055522</v>
      </c>
      <c r="C262" s="4" t="s">
        <v>27</v>
      </c>
      <c r="D262" s="4" t="s">
        <v>134</v>
      </c>
      <c r="F262" s="8">
        <v>3710171262083</v>
      </c>
      <c r="G262" s="13">
        <v>2005.2</v>
      </c>
      <c r="H262" s="4" t="s">
        <v>173</v>
      </c>
      <c r="J262" s="1" t="s">
        <v>28</v>
      </c>
      <c r="K262" s="4">
        <v>1.44</v>
      </c>
      <c r="L262" s="4">
        <v>1606.2570000000001</v>
      </c>
      <c r="M262" s="6">
        <v>18</v>
      </c>
      <c r="N262" s="6">
        <f t="shared" si="16"/>
        <v>416.34181439999998</v>
      </c>
      <c r="O262" s="1">
        <v>4</v>
      </c>
      <c r="P262" s="1">
        <f t="shared" si="18"/>
        <v>92.520403200000004</v>
      </c>
      <c r="Q262" s="6">
        <f t="shared" si="17"/>
        <v>2313.01008</v>
      </c>
      <c r="X262" s="6">
        <f t="shared" si="19"/>
        <v>2821.8722975999999</v>
      </c>
      <c r="AB262" s="4" t="s">
        <v>234</v>
      </c>
      <c r="AC262" s="4" t="s">
        <v>232</v>
      </c>
    </row>
    <row r="263" spans="1:29" ht="33.75" customHeight="1" x14ac:dyDescent="0.35">
      <c r="A263" s="4" t="s">
        <v>31</v>
      </c>
      <c r="B263" s="4">
        <v>26055522</v>
      </c>
      <c r="C263" s="4" t="s">
        <v>27</v>
      </c>
      <c r="D263" s="4" t="s">
        <v>134</v>
      </c>
      <c r="F263" s="8">
        <v>3710171262083</v>
      </c>
      <c r="G263" s="13">
        <v>2005.2</v>
      </c>
      <c r="H263" s="4" t="s">
        <v>165</v>
      </c>
      <c r="J263" s="1" t="s">
        <v>28</v>
      </c>
      <c r="K263" s="4">
        <v>1.44</v>
      </c>
      <c r="L263" s="4">
        <v>1596.0669</v>
      </c>
      <c r="M263" s="6">
        <v>18</v>
      </c>
      <c r="N263" s="6">
        <f t="shared" si="16"/>
        <v>413.70054047999997</v>
      </c>
      <c r="O263" s="1">
        <v>4</v>
      </c>
      <c r="P263" s="1">
        <f t="shared" si="18"/>
        <v>91.933453439999994</v>
      </c>
      <c r="Q263" s="6">
        <f t="shared" si="17"/>
        <v>2298.3363359999998</v>
      </c>
      <c r="X263" s="6">
        <f t="shared" si="19"/>
        <v>2803.9703299199996</v>
      </c>
      <c r="AB263" s="4" t="s">
        <v>234</v>
      </c>
      <c r="AC263" s="4" t="s">
        <v>232</v>
      </c>
    </row>
    <row r="264" spans="1:29" ht="33.75" customHeight="1" x14ac:dyDescent="0.35">
      <c r="A264" s="4" t="s">
        <v>31</v>
      </c>
      <c r="B264" s="4">
        <v>26055522</v>
      </c>
      <c r="C264" s="4" t="s">
        <v>27</v>
      </c>
      <c r="D264" s="4" t="s">
        <v>134</v>
      </c>
      <c r="F264" s="8">
        <v>3710171262083</v>
      </c>
      <c r="G264" s="6" t="s">
        <v>233</v>
      </c>
      <c r="H264" s="4" t="s">
        <v>175</v>
      </c>
      <c r="J264" s="1" t="s">
        <v>28</v>
      </c>
      <c r="K264" s="4">
        <v>1.1200000000000001</v>
      </c>
      <c r="L264" s="4">
        <v>870.63319999999999</v>
      </c>
      <c r="M264" s="6">
        <v>18</v>
      </c>
      <c r="N264" s="6">
        <f t="shared" si="16"/>
        <v>175.51965311999999</v>
      </c>
      <c r="O264" s="1">
        <v>4</v>
      </c>
      <c r="P264" s="1">
        <f t="shared" si="18"/>
        <v>39.004367360000003</v>
      </c>
      <c r="Q264" s="6">
        <f t="shared" si="17"/>
        <v>975.10918400000003</v>
      </c>
      <c r="X264" s="6">
        <f t="shared" si="19"/>
        <v>1189.6332044800001</v>
      </c>
      <c r="AB264" s="4" t="s">
        <v>234</v>
      </c>
      <c r="AC264" s="4" t="s">
        <v>232</v>
      </c>
    </row>
    <row r="265" spans="1:29" ht="33.75" customHeight="1" x14ac:dyDescent="0.35">
      <c r="A265" s="4" t="s">
        <v>31</v>
      </c>
      <c r="B265" s="4">
        <v>26055522</v>
      </c>
      <c r="C265" s="4" t="s">
        <v>27</v>
      </c>
      <c r="D265" s="4" t="s">
        <v>134</v>
      </c>
      <c r="F265" s="8">
        <v>3710171262083</v>
      </c>
      <c r="G265" s="6" t="s">
        <v>233</v>
      </c>
      <c r="H265" s="4" t="s">
        <v>193</v>
      </c>
      <c r="J265" s="1" t="s">
        <v>28</v>
      </c>
      <c r="K265" s="4">
        <v>1.728</v>
      </c>
      <c r="L265" s="4">
        <v>1738.4681</v>
      </c>
      <c r="M265" s="6">
        <v>18</v>
      </c>
      <c r="N265" s="6">
        <f t="shared" si="16"/>
        <v>540.73311782399992</v>
      </c>
      <c r="O265" s="1">
        <v>4</v>
      </c>
      <c r="P265" s="1">
        <f t="shared" si="18"/>
        <v>120.16291507199999</v>
      </c>
      <c r="Q265" s="6">
        <f t="shared" si="17"/>
        <v>3004.0728767999999</v>
      </c>
      <c r="X265" s="6">
        <f t="shared" si="19"/>
        <v>3664.9689096960001</v>
      </c>
      <c r="AB265" s="4" t="s">
        <v>234</v>
      </c>
      <c r="AC265" s="4" t="s">
        <v>232</v>
      </c>
    </row>
    <row r="266" spans="1:29" ht="33.75" customHeight="1" x14ac:dyDescent="0.35">
      <c r="A266" s="4" t="s">
        <v>31</v>
      </c>
      <c r="B266" s="4">
        <v>26055522</v>
      </c>
      <c r="C266" s="4" t="s">
        <v>27</v>
      </c>
      <c r="D266" s="4" t="s">
        <v>134</v>
      </c>
      <c r="F266" s="8">
        <v>3710171262083</v>
      </c>
      <c r="G266" s="6" t="s">
        <v>233</v>
      </c>
      <c r="H266" s="4" t="s">
        <v>219</v>
      </c>
      <c r="J266" s="1" t="s">
        <v>28</v>
      </c>
      <c r="K266" s="4">
        <v>0.64800000000000002</v>
      </c>
      <c r="L266" s="4">
        <v>783.69640000000004</v>
      </c>
      <c r="M266" s="6">
        <v>18</v>
      </c>
      <c r="N266" s="6">
        <f t="shared" si="16"/>
        <v>91.410348096000007</v>
      </c>
      <c r="O266" s="1">
        <v>4</v>
      </c>
      <c r="P266" s="1">
        <f t="shared" si="18"/>
        <v>20.313410688000001</v>
      </c>
      <c r="Q266" s="6">
        <f t="shared" si="17"/>
        <v>507.83526720000003</v>
      </c>
      <c r="X266" s="6">
        <f t="shared" si="19"/>
        <v>619.55902598400007</v>
      </c>
      <c r="AB266" s="4" t="s">
        <v>234</v>
      </c>
      <c r="AC266" s="4" t="s">
        <v>232</v>
      </c>
    </row>
    <row r="267" spans="1:29" ht="33.75" customHeight="1" x14ac:dyDescent="0.35">
      <c r="A267" s="4" t="s">
        <v>31</v>
      </c>
      <c r="B267" s="4">
        <v>26055522</v>
      </c>
      <c r="C267" s="4" t="s">
        <v>27</v>
      </c>
      <c r="D267" s="4" t="s">
        <v>134</v>
      </c>
      <c r="F267" s="8">
        <v>3710171262083</v>
      </c>
      <c r="G267" s="13">
        <v>2005.2</v>
      </c>
      <c r="H267" s="4" t="s">
        <v>225</v>
      </c>
      <c r="J267" s="1" t="s">
        <v>28</v>
      </c>
      <c r="K267" s="4">
        <v>0.57599999999999996</v>
      </c>
      <c r="L267" s="4">
        <v>798.03340000000003</v>
      </c>
      <c r="M267" s="6">
        <v>18</v>
      </c>
      <c r="N267" s="6">
        <f t="shared" si="16"/>
        <v>82.740102911999998</v>
      </c>
      <c r="O267" s="1">
        <v>4</v>
      </c>
      <c r="P267" s="1">
        <f t="shared" si="18"/>
        <v>18.386689535999999</v>
      </c>
      <c r="Q267" s="6">
        <f t="shared" si="17"/>
        <v>459.66723839999997</v>
      </c>
      <c r="X267" s="6">
        <f t="shared" si="19"/>
        <v>560.79403084799992</v>
      </c>
      <c r="AB267" s="4" t="s">
        <v>234</v>
      </c>
      <c r="AC267" s="4" t="s">
        <v>232</v>
      </c>
    </row>
    <row r="268" spans="1:29" ht="33.75" customHeight="1" x14ac:dyDescent="0.35">
      <c r="A268" s="4" t="s">
        <v>31</v>
      </c>
      <c r="B268" s="4">
        <v>26055522</v>
      </c>
      <c r="C268" s="4" t="s">
        <v>27</v>
      </c>
      <c r="D268" s="4" t="s">
        <v>134</v>
      </c>
      <c r="F268" s="8">
        <v>3710171262083</v>
      </c>
      <c r="G268" s="13">
        <v>2005.2</v>
      </c>
      <c r="H268" s="4" t="s">
        <v>178</v>
      </c>
      <c r="J268" s="1" t="s">
        <v>28</v>
      </c>
      <c r="K268" s="4">
        <v>0.68799999999999994</v>
      </c>
      <c r="L268" s="4">
        <v>803.12850000000003</v>
      </c>
      <c r="M268" s="6">
        <v>18</v>
      </c>
      <c r="N268" s="6">
        <f t="shared" si="16"/>
        <v>99.459433439999998</v>
      </c>
      <c r="O268" s="1">
        <v>4</v>
      </c>
      <c r="P268" s="1">
        <f t="shared" si="18"/>
        <v>22.102096320000001</v>
      </c>
      <c r="Q268" s="6">
        <f t="shared" si="17"/>
        <v>552.55240800000001</v>
      </c>
      <c r="X268" s="6">
        <f t="shared" si="19"/>
        <v>674.11393776</v>
      </c>
      <c r="AB268" s="4" t="s">
        <v>234</v>
      </c>
      <c r="AC268" s="4" t="s">
        <v>232</v>
      </c>
    </row>
    <row r="269" spans="1:29" ht="33.75" customHeight="1" x14ac:dyDescent="0.35">
      <c r="A269" s="4" t="s">
        <v>31</v>
      </c>
      <c r="B269" s="4">
        <v>26055523</v>
      </c>
      <c r="C269" s="4" t="s">
        <v>27</v>
      </c>
      <c r="D269" s="4" t="s">
        <v>135</v>
      </c>
      <c r="F269" s="7">
        <v>9999999</v>
      </c>
      <c r="G269" s="13">
        <v>2005.2</v>
      </c>
      <c r="H269" s="4" t="s">
        <v>182</v>
      </c>
      <c r="J269" s="1" t="s">
        <v>28</v>
      </c>
      <c r="K269" s="4">
        <v>0.06</v>
      </c>
      <c r="L269" s="4">
        <v>73.976100000000002</v>
      </c>
      <c r="M269" s="6">
        <v>18</v>
      </c>
      <c r="N269" s="6">
        <f t="shared" si="16"/>
        <v>0.79894187999999988</v>
      </c>
      <c r="O269" s="1">
        <v>4</v>
      </c>
      <c r="P269" s="1">
        <f t="shared" si="18"/>
        <v>0.17754264</v>
      </c>
      <c r="Q269" s="6">
        <f t="shared" si="17"/>
        <v>4.4385659999999998</v>
      </c>
      <c r="X269" s="6">
        <f t="shared" si="19"/>
        <v>5.4150505200000003</v>
      </c>
      <c r="AB269" s="4" t="s">
        <v>234</v>
      </c>
      <c r="AC269" s="4" t="s">
        <v>232</v>
      </c>
    </row>
    <row r="270" spans="1:29" ht="33.75" customHeight="1" x14ac:dyDescent="0.35">
      <c r="A270" s="4" t="s">
        <v>31</v>
      </c>
      <c r="B270" s="4">
        <v>26055524</v>
      </c>
      <c r="C270" s="4" t="s">
        <v>27</v>
      </c>
      <c r="D270" s="4" t="s">
        <v>136</v>
      </c>
      <c r="F270" s="7">
        <v>9999999</v>
      </c>
      <c r="G270" s="13">
        <v>2005.2</v>
      </c>
      <c r="H270" s="4" t="s">
        <v>181</v>
      </c>
      <c r="J270" s="1" t="s">
        <v>28</v>
      </c>
      <c r="K270" s="4">
        <v>1.44</v>
      </c>
      <c r="L270" s="4">
        <v>1811.6592000000001</v>
      </c>
      <c r="M270" s="6">
        <v>18</v>
      </c>
      <c r="N270" s="6">
        <f t="shared" si="16"/>
        <v>469.58206464</v>
      </c>
      <c r="O270" s="1">
        <v>4</v>
      </c>
      <c r="P270" s="1">
        <f t="shared" si="18"/>
        <v>104.35156992</v>
      </c>
      <c r="Q270" s="6">
        <f t="shared" si="17"/>
        <v>2608.789248</v>
      </c>
      <c r="X270" s="6">
        <f t="shared" si="19"/>
        <v>3182.72288256</v>
      </c>
      <c r="AB270" s="4" t="s">
        <v>234</v>
      </c>
      <c r="AC270" s="4" t="s">
        <v>232</v>
      </c>
    </row>
    <row r="271" spans="1:29" ht="33.75" customHeight="1" x14ac:dyDescent="0.35">
      <c r="A271" s="4" t="s">
        <v>31</v>
      </c>
      <c r="B271" s="4">
        <v>26055525</v>
      </c>
      <c r="C271" s="4" t="s">
        <v>27</v>
      </c>
      <c r="D271" s="4" t="s">
        <v>137</v>
      </c>
      <c r="F271" s="8">
        <v>3710431542971</v>
      </c>
      <c r="G271" s="13">
        <v>2005.2</v>
      </c>
      <c r="H271" s="4" t="s">
        <v>170</v>
      </c>
      <c r="J271" s="1" t="s">
        <v>28</v>
      </c>
      <c r="K271" s="4">
        <v>0.06</v>
      </c>
      <c r="L271" s="4">
        <v>72.466399999999993</v>
      </c>
      <c r="M271" s="6">
        <v>18</v>
      </c>
      <c r="N271" s="6">
        <f t="shared" si="16"/>
        <v>0.78263711999999985</v>
      </c>
      <c r="O271" s="1">
        <v>4</v>
      </c>
      <c r="P271" s="1">
        <f t="shared" si="18"/>
        <v>0.17391935999999997</v>
      </c>
      <c r="Q271" s="6">
        <f t="shared" si="17"/>
        <v>4.3479839999999994</v>
      </c>
      <c r="X271" s="6">
        <f t="shared" si="19"/>
        <v>5.3045404799999991</v>
      </c>
      <c r="AB271" s="4" t="s">
        <v>234</v>
      </c>
      <c r="AC271" s="4" t="s">
        <v>232</v>
      </c>
    </row>
    <row r="272" spans="1:29" ht="33.75" customHeight="1" x14ac:dyDescent="0.35">
      <c r="A272" s="4" t="s">
        <v>31</v>
      </c>
      <c r="B272" s="4">
        <v>26055526</v>
      </c>
      <c r="C272" s="4" t="s">
        <v>27</v>
      </c>
      <c r="D272" s="4" t="s">
        <v>138</v>
      </c>
      <c r="F272" s="7">
        <v>9999999</v>
      </c>
      <c r="G272" s="13">
        <v>2005.2</v>
      </c>
      <c r="H272" s="4" t="s">
        <v>182</v>
      </c>
      <c r="J272" s="1" t="s">
        <v>28</v>
      </c>
      <c r="K272" s="4">
        <v>0.06</v>
      </c>
      <c r="L272" s="4">
        <v>75.485799999999998</v>
      </c>
      <c r="M272" s="6">
        <v>18</v>
      </c>
      <c r="N272" s="6">
        <f t="shared" si="16"/>
        <v>0.8152466399999998</v>
      </c>
      <c r="O272" s="1">
        <v>4</v>
      </c>
      <c r="P272" s="1">
        <f t="shared" si="18"/>
        <v>0.18116591999999998</v>
      </c>
      <c r="Q272" s="6">
        <f t="shared" si="17"/>
        <v>4.5291479999999993</v>
      </c>
      <c r="X272" s="6">
        <f t="shared" si="19"/>
        <v>5.5255605599999988</v>
      </c>
      <c r="AB272" s="4" t="s">
        <v>234</v>
      </c>
      <c r="AC272" s="4" t="s">
        <v>232</v>
      </c>
    </row>
    <row r="273" spans="1:29" ht="33.75" customHeight="1" x14ac:dyDescent="0.35">
      <c r="A273" s="4" t="s">
        <v>31</v>
      </c>
      <c r="B273" s="4">
        <v>26055527</v>
      </c>
      <c r="C273" s="4" t="s">
        <v>27</v>
      </c>
      <c r="D273" s="4" t="s">
        <v>139</v>
      </c>
      <c r="F273" s="8">
        <v>3710163146143</v>
      </c>
      <c r="G273" s="13">
        <v>2005.2</v>
      </c>
      <c r="H273" s="4" t="s">
        <v>217</v>
      </c>
      <c r="J273" s="1" t="s">
        <v>28</v>
      </c>
      <c r="K273" s="4">
        <v>0.86399999999999999</v>
      </c>
      <c r="L273" s="4">
        <v>867.64840000000004</v>
      </c>
      <c r="M273" s="6">
        <v>18</v>
      </c>
      <c r="N273" s="6">
        <f t="shared" si="16"/>
        <v>134.93667916800001</v>
      </c>
      <c r="O273" s="1">
        <v>4</v>
      </c>
      <c r="P273" s="1">
        <f t="shared" si="18"/>
        <v>29.985928704000003</v>
      </c>
      <c r="Q273" s="6">
        <f t="shared" si="17"/>
        <v>749.64821760000007</v>
      </c>
      <c r="X273" s="6">
        <f t="shared" si="19"/>
        <v>914.57082547200014</v>
      </c>
      <c r="AB273" s="4" t="s">
        <v>234</v>
      </c>
      <c r="AC273" s="4" t="s">
        <v>232</v>
      </c>
    </row>
    <row r="274" spans="1:29" ht="33.75" customHeight="1" x14ac:dyDescent="0.35">
      <c r="A274" s="4" t="s">
        <v>31</v>
      </c>
      <c r="B274" s="4">
        <v>26055527</v>
      </c>
      <c r="C274" s="4" t="s">
        <v>27</v>
      </c>
      <c r="D274" s="4" t="s">
        <v>139</v>
      </c>
      <c r="F274" s="8">
        <v>3710163146143</v>
      </c>
      <c r="G274" s="13">
        <v>2005.2</v>
      </c>
      <c r="H274" s="4" t="s">
        <v>211</v>
      </c>
      <c r="J274" s="1" t="s">
        <v>28</v>
      </c>
      <c r="K274" s="4">
        <v>0.88</v>
      </c>
      <c r="L274" s="4">
        <v>1175.5008</v>
      </c>
      <c r="M274" s="6">
        <v>18</v>
      </c>
      <c r="N274" s="6">
        <f t="shared" si="16"/>
        <v>186.19932672000002</v>
      </c>
      <c r="O274" s="1">
        <v>4</v>
      </c>
      <c r="P274" s="1">
        <f t="shared" si="18"/>
        <v>41.37762816</v>
      </c>
      <c r="Q274" s="6">
        <f t="shared" si="17"/>
        <v>1034.4407040000001</v>
      </c>
      <c r="X274" s="6">
        <f t="shared" si="19"/>
        <v>1262.0176588800002</v>
      </c>
      <c r="AB274" s="4" t="s">
        <v>234</v>
      </c>
      <c r="AC274" s="4" t="s">
        <v>232</v>
      </c>
    </row>
    <row r="275" spans="1:29" ht="33.75" customHeight="1" x14ac:dyDescent="0.35">
      <c r="A275" s="4" t="s">
        <v>31</v>
      </c>
      <c r="B275" s="4">
        <v>26055527</v>
      </c>
      <c r="C275" s="4" t="s">
        <v>27</v>
      </c>
      <c r="D275" s="4" t="s">
        <v>139</v>
      </c>
      <c r="F275" s="8">
        <v>3710163146143</v>
      </c>
      <c r="G275" s="13">
        <v>2005.2</v>
      </c>
      <c r="H275" s="4" t="s">
        <v>167</v>
      </c>
      <c r="J275" s="1" t="s">
        <v>28</v>
      </c>
      <c r="K275" s="4">
        <v>0.86399999999999999</v>
      </c>
      <c r="L275" s="4">
        <v>1040.5093999999999</v>
      </c>
      <c r="M275" s="6">
        <v>18</v>
      </c>
      <c r="N275" s="6">
        <f t="shared" si="16"/>
        <v>161.82002188799999</v>
      </c>
      <c r="O275" s="1">
        <v>4</v>
      </c>
      <c r="P275" s="1">
        <f t="shared" si="18"/>
        <v>35.960004863999998</v>
      </c>
      <c r="Q275" s="6">
        <f t="shared" si="17"/>
        <v>899.00012159999994</v>
      </c>
      <c r="X275" s="6">
        <f t="shared" si="19"/>
        <v>1096.780148352</v>
      </c>
      <c r="AB275" s="4" t="s">
        <v>234</v>
      </c>
      <c r="AC275" s="4" t="s">
        <v>232</v>
      </c>
    </row>
    <row r="276" spans="1:29" ht="33.75" customHeight="1" x14ac:dyDescent="0.35">
      <c r="A276" s="4" t="s">
        <v>31</v>
      </c>
      <c r="B276" s="4">
        <v>26055527</v>
      </c>
      <c r="C276" s="4" t="s">
        <v>27</v>
      </c>
      <c r="D276" s="4" t="s">
        <v>139</v>
      </c>
      <c r="F276" s="8">
        <v>3710163146143</v>
      </c>
      <c r="G276" s="13">
        <v>2005.2</v>
      </c>
      <c r="H276" s="4" t="s">
        <v>168</v>
      </c>
      <c r="J276" s="1" t="s">
        <v>28</v>
      </c>
      <c r="K276" s="4">
        <v>0.76800000000000002</v>
      </c>
      <c r="L276" s="4">
        <v>1050.154</v>
      </c>
      <c r="M276" s="6">
        <v>18</v>
      </c>
      <c r="N276" s="6">
        <f t="shared" si="16"/>
        <v>145.17328896000001</v>
      </c>
      <c r="O276" s="1">
        <v>4</v>
      </c>
      <c r="P276" s="1">
        <f t="shared" si="18"/>
        <v>32.260730880000004</v>
      </c>
      <c r="Q276" s="6">
        <f t="shared" si="17"/>
        <v>806.51827200000002</v>
      </c>
      <c r="X276" s="6">
        <f t="shared" si="19"/>
        <v>983.95229184000004</v>
      </c>
      <c r="AB276" s="4" t="s">
        <v>234</v>
      </c>
      <c r="AC276" s="4" t="s">
        <v>232</v>
      </c>
    </row>
    <row r="277" spans="1:29" ht="33.75" customHeight="1" x14ac:dyDescent="0.35">
      <c r="A277" s="4" t="s">
        <v>31</v>
      </c>
      <c r="B277" s="4">
        <v>26055527</v>
      </c>
      <c r="C277" s="4" t="s">
        <v>27</v>
      </c>
      <c r="D277" s="4" t="s">
        <v>139</v>
      </c>
      <c r="F277" s="8">
        <v>3710163146143</v>
      </c>
      <c r="G277" s="13">
        <v>2005.2</v>
      </c>
      <c r="H277" s="4" t="s">
        <v>169</v>
      </c>
      <c r="J277" s="1" t="s">
        <v>28</v>
      </c>
      <c r="K277" s="4">
        <v>1.44</v>
      </c>
      <c r="L277" s="4">
        <v>1739.1928</v>
      </c>
      <c r="M277" s="6">
        <v>18</v>
      </c>
      <c r="N277" s="6">
        <f t="shared" si="16"/>
        <v>450.79877376000002</v>
      </c>
      <c r="O277" s="1">
        <v>4</v>
      </c>
      <c r="P277" s="1">
        <f t="shared" si="18"/>
        <v>100.17750528000001</v>
      </c>
      <c r="Q277" s="6">
        <f t="shared" si="17"/>
        <v>2504.4376320000001</v>
      </c>
      <c r="X277" s="6">
        <f t="shared" si="19"/>
        <v>3055.4139110400001</v>
      </c>
      <c r="AB277" s="4" t="s">
        <v>234</v>
      </c>
      <c r="AC277" s="4" t="s">
        <v>232</v>
      </c>
    </row>
    <row r="278" spans="1:29" ht="33.75" customHeight="1" x14ac:dyDescent="0.35">
      <c r="A278" s="4" t="s">
        <v>31</v>
      </c>
      <c r="B278" s="4">
        <v>26055527</v>
      </c>
      <c r="C278" s="4" t="s">
        <v>27</v>
      </c>
      <c r="D278" s="4" t="s">
        <v>139</v>
      </c>
      <c r="F278" s="8">
        <v>3710163146143</v>
      </c>
      <c r="G278" s="13">
        <v>2005.2</v>
      </c>
      <c r="H278" s="4" t="s">
        <v>170</v>
      </c>
      <c r="J278" s="1" t="s">
        <v>28</v>
      </c>
      <c r="K278" s="4">
        <v>0.72</v>
      </c>
      <c r="L278" s="4">
        <v>869.59640000000002</v>
      </c>
      <c r="M278" s="6">
        <v>18</v>
      </c>
      <c r="N278" s="6">
        <f t="shared" si="16"/>
        <v>112.69969344</v>
      </c>
      <c r="O278" s="1">
        <v>4</v>
      </c>
      <c r="P278" s="1">
        <f t="shared" si="18"/>
        <v>25.044376320000001</v>
      </c>
      <c r="Q278" s="6">
        <f t="shared" si="17"/>
        <v>626.10940800000003</v>
      </c>
      <c r="X278" s="6">
        <f t="shared" si="19"/>
        <v>763.85347776000003</v>
      </c>
      <c r="AB278" s="4" t="s">
        <v>234</v>
      </c>
      <c r="AC278" s="4" t="s">
        <v>232</v>
      </c>
    </row>
    <row r="279" spans="1:29" ht="33.75" customHeight="1" x14ac:dyDescent="0.35">
      <c r="A279" s="4" t="s">
        <v>31</v>
      </c>
      <c r="B279" s="4">
        <v>26055527</v>
      </c>
      <c r="C279" s="4" t="s">
        <v>27</v>
      </c>
      <c r="D279" s="4" t="s">
        <v>139</v>
      </c>
      <c r="F279" s="8">
        <v>3710163146143</v>
      </c>
      <c r="G279" s="13">
        <v>2005.2</v>
      </c>
      <c r="H279" s="4" t="s">
        <v>165</v>
      </c>
      <c r="J279" s="1" t="s">
        <v>28</v>
      </c>
      <c r="K279" s="4">
        <v>0.72</v>
      </c>
      <c r="L279" s="4">
        <v>806.43380000000002</v>
      </c>
      <c r="M279" s="6">
        <v>18</v>
      </c>
      <c r="N279" s="6">
        <f t="shared" si="16"/>
        <v>104.51382047999999</v>
      </c>
      <c r="O279" s="1">
        <v>4</v>
      </c>
      <c r="P279" s="1">
        <f t="shared" si="18"/>
        <v>23.225293440000002</v>
      </c>
      <c r="Q279" s="6">
        <f t="shared" si="17"/>
        <v>580.63233600000001</v>
      </c>
      <c r="X279" s="6">
        <f t="shared" si="19"/>
        <v>708.37144991999992</v>
      </c>
      <c r="AB279" s="4" t="s">
        <v>234</v>
      </c>
      <c r="AC279" s="4" t="s">
        <v>232</v>
      </c>
    </row>
    <row r="280" spans="1:29" ht="33.75" customHeight="1" x14ac:dyDescent="0.35">
      <c r="A280" s="4" t="s">
        <v>31</v>
      </c>
      <c r="B280" s="4">
        <v>26055527</v>
      </c>
      <c r="C280" s="4" t="s">
        <v>27</v>
      </c>
      <c r="D280" s="4" t="s">
        <v>139</v>
      </c>
      <c r="F280" s="8">
        <v>3710163146143</v>
      </c>
      <c r="G280" s="6" t="s">
        <v>233</v>
      </c>
      <c r="H280" s="4" t="s">
        <v>192</v>
      </c>
      <c r="J280" s="1" t="s">
        <v>28</v>
      </c>
      <c r="K280" s="4">
        <v>1.1200000000000001</v>
      </c>
      <c r="L280" s="4">
        <v>879.79780000000005</v>
      </c>
      <c r="M280" s="6">
        <v>18</v>
      </c>
      <c r="N280" s="6">
        <f t="shared" si="16"/>
        <v>177.36723648000003</v>
      </c>
      <c r="O280" s="1">
        <v>4</v>
      </c>
      <c r="P280" s="1">
        <f t="shared" si="18"/>
        <v>39.414941440000007</v>
      </c>
      <c r="Q280" s="6">
        <f t="shared" si="17"/>
        <v>985.37353600000017</v>
      </c>
      <c r="X280" s="6">
        <f t="shared" si="19"/>
        <v>1202.1557139200004</v>
      </c>
      <c r="AB280" s="4" t="s">
        <v>234</v>
      </c>
      <c r="AC280" s="4" t="s">
        <v>232</v>
      </c>
    </row>
    <row r="281" spans="1:29" ht="33.75" customHeight="1" x14ac:dyDescent="0.35">
      <c r="A281" s="4" t="s">
        <v>31</v>
      </c>
      <c r="B281" s="4">
        <v>26055527</v>
      </c>
      <c r="C281" s="4" t="s">
        <v>27</v>
      </c>
      <c r="D281" s="4" t="s">
        <v>139</v>
      </c>
      <c r="F281" s="8">
        <v>3710163146143</v>
      </c>
      <c r="G281" s="13">
        <v>2005.2</v>
      </c>
      <c r="H281" s="4" t="s">
        <v>178</v>
      </c>
      <c r="J281" s="1" t="s">
        <v>28</v>
      </c>
      <c r="K281" s="4">
        <v>0.68799999999999994</v>
      </c>
      <c r="L281" s="4">
        <v>811.58249999999998</v>
      </c>
      <c r="M281" s="6">
        <v>18</v>
      </c>
      <c r="N281" s="6">
        <f t="shared" si="16"/>
        <v>100.50637679999998</v>
      </c>
      <c r="O281" s="1">
        <v>4</v>
      </c>
      <c r="P281" s="1">
        <f t="shared" si="18"/>
        <v>22.334750399999997</v>
      </c>
      <c r="Q281" s="6">
        <f t="shared" si="17"/>
        <v>558.36875999999995</v>
      </c>
      <c r="X281" s="6">
        <f t="shared" si="19"/>
        <v>681.20988719999991</v>
      </c>
      <c r="AB281" s="4" t="s">
        <v>234</v>
      </c>
      <c r="AC281" s="4" t="s">
        <v>232</v>
      </c>
    </row>
    <row r="282" spans="1:29" ht="33.75" customHeight="1" x14ac:dyDescent="0.35">
      <c r="A282" s="4" t="s">
        <v>31</v>
      </c>
      <c r="B282" s="4">
        <v>26055528</v>
      </c>
      <c r="C282" s="4" t="s">
        <v>27</v>
      </c>
      <c r="D282" s="4" t="s">
        <v>140</v>
      </c>
      <c r="F282" s="7">
        <v>9999999</v>
      </c>
      <c r="G282" s="13">
        <v>2005.2</v>
      </c>
      <c r="H282" s="4" t="s">
        <v>182</v>
      </c>
      <c r="J282" s="1" t="s">
        <v>28</v>
      </c>
      <c r="K282" s="4">
        <v>0.06</v>
      </c>
      <c r="L282" s="4">
        <v>75.485799999999998</v>
      </c>
      <c r="M282" s="6">
        <v>18</v>
      </c>
      <c r="N282" s="6">
        <f t="shared" si="16"/>
        <v>0.8152466399999998</v>
      </c>
      <c r="O282" s="1">
        <v>4</v>
      </c>
      <c r="P282" s="1">
        <f t="shared" si="18"/>
        <v>0.18116591999999998</v>
      </c>
      <c r="Q282" s="6">
        <f t="shared" si="17"/>
        <v>4.5291479999999993</v>
      </c>
      <c r="X282" s="6">
        <f t="shared" si="19"/>
        <v>5.5255605599999988</v>
      </c>
      <c r="AB282" s="4" t="s">
        <v>234</v>
      </c>
      <c r="AC282" s="4" t="s">
        <v>232</v>
      </c>
    </row>
    <row r="283" spans="1:29" ht="33.75" customHeight="1" x14ac:dyDescent="0.35">
      <c r="A283" s="4" t="s">
        <v>31</v>
      </c>
      <c r="B283" s="4">
        <v>26055529</v>
      </c>
      <c r="C283" s="4" t="s">
        <v>27</v>
      </c>
      <c r="D283" s="4" t="s">
        <v>141</v>
      </c>
      <c r="F283" s="8">
        <v>3710157663095</v>
      </c>
      <c r="G283" s="13">
        <v>2005.2</v>
      </c>
      <c r="H283" s="4" t="s">
        <v>169</v>
      </c>
      <c r="J283" s="1" t="s">
        <v>28</v>
      </c>
      <c r="K283" s="4">
        <v>1.44</v>
      </c>
      <c r="L283" s="4">
        <v>1757.3094000000001</v>
      </c>
      <c r="M283" s="6">
        <v>18</v>
      </c>
      <c r="N283" s="6">
        <f t="shared" si="16"/>
        <v>455.49459647999998</v>
      </c>
      <c r="O283" s="1">
        <v>4</v>
      </c>
      <c r="P283" s="1">
        <f t="shared" si="18"/>
        <v>101.22102144</v>
      </c>
      <c r="Q283" s="6">
        <f t="shared" si="17"/>
        <v>2530.5255360000001</v>
      </c>
      <c r="X283" s="6">
        <f t="shared" si="19"/>
        <v>3087.2411539200002</v>
      </c>
      <c r="AB283" s="4" t="s">
        <v>234</v>
      </c>
      <c r="AC283" s="4" t="s">
        <v>232</v>
      </c>
    </row>
    <row r="284" spans="1:29" ht="33.75" customHeight="1" x14ac:dyDescent="0.35">
      <c r="A284" s="4" t="s">
        <v>31</v>
      </c>
      <c r="B284" s="4">
        <v>26055529</v>
      </c>
      <c r="C284" s="4" t="s">
        <v>27</v>
      </c>
      <c r="D284" s="4" t="s">
        <v>141</v>
      </c>
      <c r="F284" s="8">
        <v>3710157663095</v>
      </c>
      <c r="G284" s="13">
        <v>2005.2</v>
      </c>
      <c r="H284" s="4" t="s">
        <v>170</v>
      </c>
      <c r="J284" s="1" t="s">
        <v>28</v>
      </c>
      <c r="K284" s="4">
        <v>0.72</v>
      </c>
      <c r="L284" s="4">
        <v>878.65470000000005</v>
      </c>
      <c r="M284" s="6">
        <v>18</v>
      </c>
      <c r="N284" s="6">
        <f t="shared" si="16"/>
        <v>113.87364912</v>
      </c>
      <c r="O284" s="1">
        <v>4</v>
      </c>
      <c r="P284" s="1">
        <f t="shared" si="18"/>
        <v>25.30525536</v>
      </c>
      <c r="Q284" s="6">
        <f t="shared" si="17"/>
        <v>632.63138400000003</v>
      </c>
      <c r="X284" s="6">
        <f t="shared" si="19"/>
        <v>771.81028848000005</v>
      </c>
      <c r="AB284" s="4" t="s">
        <v>234</v>
      </c>
      <c r="AC284" s="4" t="s">
        <v>232</v>
      </c>
    </row>
    <row r="285" spans="1:29" ht="33.75" customHeight="1" x14ac:dyDescent="0.35">
      <c r="A285" s="4" t="s">
        <v>31</v>
      </c>
      <c r="B285" s="4">
        <v>26055529</v>
      </c>
      <c r="C285" s="4" t="s">
        <v>27</v>
      </c>
      <c r="D285" s="4" t="s">
        <v>141</v>
      </c>
      <c r="F285" s="8">
        <v>3710157663095</v>
      </c>
      <c r="G285" s="13">
        <v>2005.2</v>
      </c>
      <c r="H285" s="4" t="s">
        <v>165</v>
      </c>
      <c r="J285" s="1" t="s">
        <v>28</v>
      </c>
      <c r="K285" s="4">
        <v>0.72</v>
      </c>
      <c r="L285" s="4">
        <v>814.83410000000003</v>
      </c>
      <c r="M285" s="6">
        <v>18</v>
      </c>
      <c r="N285" s="6">
        <f t="shared" si="16"/>
        <v>105.60249936</v>
      </c>
      <c r="O285" s="1">
        <v>4</v>
      </c>
      <c r="P285" s="1">
        <f t="shared" si="18"/>
        <v>23.467222080000003</v>
      </c>
      <c r="Q285" s="6">
        <f t="shared" si="17"/>
        <v>586.68055200000003</v>
      </c>
      <c r="X285" s="6">
        <f t="shared" si="19"/>
        <v>715.75027344000011</v>
      </c>
      <c r="AB285" s="4" t="s">
        <v>234</v>
      </c>
      <c r="AC285" s="4" t="s">
        <v>232</v>
      </c>
    </row>
    <row r="286" spans="1:29" ht="33.75" customHeight="1" x14ac:dyDescent="0.35">
      <c r="A286" s="4" t="s">
        <v>31</v>
      </c>
      <c r="B286" s="4">
        <v>26055529</v>
      </c>
      <c r="C286" s="4" t="s">
        <v>27</v>
      </c>
      <c r="D286" s="4" t="s">
        <v>141</v>
      </c>
      <c r="F286" s="8">
        <v>3710157663095</v>
      </c>
      <c r="G286" s="13">
        <v>2005.2</v>
      </c>
      <c r="H286" s="4" t="s">
        <v>178</v>
      </c>
      <c r="J286" s="1" t="s">
        <v>28</v>
      </c>
      <c r="K286" s="4">
        <v>0.68799999999999994</v>
      </c>
      <c r="L286" s="4">
        <v>820.03639999999996</v>
      </c>
      <c r="M286" s="6">
        <v>18</v>
      </c>
      <c r="N286" s="6">
        <f t="shared" si="16"/>
        <v>101.55330777599997</v>
      </c>
      <c r="O286" s="1">
        <v>4</v>
      </c>
      <c r="P286" s="1">
        <f t="shared" si="18"/>
        <v>22.567401727999997</v>
      </c>
      <c r="Q286" s="6">
        <f t="shared" si="17"/>
        <v>564.18504319999988</v>
      </c>
      <c r="X286" s="6">
        <f t="shared" si="19"/>
        <v>688.30575270399993</v>
      </c>
      <c r="AB286" s="4" t="s">
        <v>234</v>
      </c>
      <c r="AC286" s="4" t="s">
        <v>232</v>
      </c>
    </row>
    <row r="287" spans="1:29" ht="33.75" customHeight="1" x14ac:dyDescent="0.35">
      <c r="A287" s="4" t="s">
        <v>31</v>
      </c>
      <c r="B287" s="4">
        <v>26055530</v>
      </c>
      <c r="C287" s="4" t="s">
        <v>27</v>
      </c>
      <c r="D287" s="4" t="s">
        <v>142</v>
      </c>
      <c r="F287" s="8" t="s">
        <v>162</v>
      </c>
      <c r="G287" s="13">
        <v>2005.2</v>
      </c>
      <c r="H287" s="4" t="s">
        <v>210</v>
      </c>
      <c r="J287" s="1" t="s">
        <v>28</v>
      </c>
      <c r="K287" s="4">
        <v>1.728</v>
      </c>
      <c r="L287" s="4">
        <v>1735.2968000000001</v>
      </c>
      <c r="M287" s="6">
        <v>18</v>
      </c>
      <c r="N287" s="6">
        <f t="shared" si="16"/>
        <v>539.74671667200005</v>
      </c>
      <c r="O287" s="1">
        <v>4</v>
      </c>
      <c r="P287" s="1">
        <f t="shared" si="18"/>
        <v>119.94371481600001</v>
      </c>
      <c r="Q287" s="6">
        <f t="shared" si="17"/>
        <v>2998.5928704000003</v>
      </c>
      <c r="X287" s="6">
        <f t="shared" si="19"/>
        <v>3658.2833018880006</v>
      </c>
      <c r="AB287" s="4" t="s">
        <v>234</v>
      </c>
      <c r="AC287" s="4" t="s">
        <v>232</v>
      </c>
    </row>
    <row r="288" spans="1:29" ht="33.75" customHeight="1" x14ac:dyDescent="0.35">
      <c r="A288" s="4" t="s">
        <v>31</v>
      </c>
      <c r="B288" s="4">
        <v>26055530</v>
      </c>
      <c r="C288" s="4" t="s">
        <v>27</v>
      </c>
      <c r="D288" s="4" t="s">
        <v>142</v>
      </c>
      <c r="F288" s="8" t="s">
        <v>162</v>
      </c>
      <c r="G288" s="13">
        <v>2005.2</v>
      </c>
      <c r="H288" s="4" t="s">
        <v>217</v>
      </c>
      <c r="J288" s="1" t="s">
        <v>28</v>
      </c>
      <c r="K288" s="4">
        <v>1.728</v>
      </c>
      <c r="L288" s="4">
        <v>1735.2968000000001</v>
      </c>
      <c r="M288" s="6">
        <v>18</v>
      </c>
      <c r="N288" s="6">
        <f t="shared" si="16"/>
        <v>539.74671667200005</v>
      </c>
      <c r="O288" s="1">
        <v>4</v>
      </c>
      <c r="P288" s="1">
        <f t="shared" si="18"/>
        <v>119.94371481600001</v>
      </c>
      <c r="Q288" s="6">
        <f t="shared" si="17"/>
        <v>2998.5928704000003</v>
      </c>
      <c r="X288" s="6">
        <f t="shared" si="19"/>
        <v>3658.2833018880006</v>
      </c>
      <c r="AB288" s="4" t="s">
        <v>234</v>
      </c>
      <c r="AC288" s="4" t="s">
        <v>232</v>
      </c>
    </row>
    <row r="289" spans="1:29" ht="33.75" customHeight="1" x14ac:dyDescent="0.35">
      <c r="A289" s="4" t="s">
        <v>31</v>
      </c>
      <c r="B289" s="4">
        <v>26055530</v>
      </c>
      <c r="C289" s="4" t="s">
        <v>27</v>
      </c>
      <c r="D289" s="4" t="s">
        <v>142</v>
      </c>
      <c r="F289" s="8" t="s">
        <v>162</v>
      </c>
      <c r="G289" s="13">
        <v>2005.2</v>
      </c>
      <c r="H289" s="4" t="s">
        <v>169</v>
      </c>
      <c r="J289" s="1" t="s">
        <v>28</v>
      </c>
      <c r="K289" s="4">
        <v>1.44</v>
      </c>
      <c r="L289" s="4">
        <v>1739.1928</v>
      </c>
      <c r="M289" s="6">
        <v>18</v>
      </c>
      <c r="N289" s="6">
        <f t="shared" si="16"/>
        <v>450.79877376000002</v>
      </c>
      <c r="O289" s="1">
        <v>4</v>
      </c>
      <c r="P289" s="1">
        <f t="shared" si="18"/>
        <v>100.17750528000001</v>
      </c>
      <c r="Q289" s="6">
        <f t="shared" si="17"/>
        <v>2504.4376320000001</v>
      </c>
      <c r="X289" s="6">
        <f t="shared" si="19"/>
        <v>3055.4139110400001</v>
      </c>
      <c r="AB289" s="4" t="s">
        <v>234</v>
      </c>
      <c r="AC289" s="4" t="s">
        <v>232</v>
      </c>
    </row>
    <row r="290" spans="1:29" ht="33.75" customHeight="1" x14ac:dyDescent="0.35">
      <c r="A290" s="4" t="s">
        <v>31</v>
      </c>
      <c r="B290" s="4">
        <v>26055530</v>
      </c>
      <c r="C290" s="4" t="s">
        <v>27</v>
      </c>
      <c r="D290" s="4" t="s">
        <v>142</v>
      </c>
      <c r="F290" s="8" t="s">
        <v>162</v>
      </c>
      <c r="G290" s="13">
        <v>2005.2</v>
      </c>
      <c r="H290" s="4" t="s">
        <v>170</v>
      </c>
      <c r="J290" s="1" t="s">
        <v>28</v>
      </c>
      <c r="K290" s="4">
        <v>0.72</v>
      </c>
      <c r="L290" s="4">
        <v>869.59640000000002</v>
      </c>
      <c r="M290" s="6">
        <v>18</v>
      </c>
      <c r="N290" s="6">
        <f t="shared" si="16"/>
        <v>112.69969344</v>
      </c>
      <c r="O290" s="1">
        <v>4</v>
      </c>
      <c r="P290" s="1">
        <f t="shared" si="18"/>
        <v>25.044376320000001</v>
      </c>
      <c r="Q290" s="6">
        <f t="shared" si="17"/>
        <v>626.10940800000003</v>
      </c>
      <c r="X290" s="6">
        <f t="shared" si="19"/>
        <v>763.85347776000003</v>
      </c>
      <c r="AB290" s="4" t="s">
        <v>234</v>
      </c>
      <c r="AC290" s="4" t="s">
        <v>232</v>
      </c>
    </row>
    <row r="291" spans="1:29" ht="33.75" customHeight="1" x14ac:dyDescent="0.35">
      <c r="A291" s="4" t="s">
        <v>31</v>
      </c>
      <c r="B291" s="4">
        <v>26055530</v>
      </c>
      <c r="C291" s="4" t="s">
        <v>27</v>
      </c>
      <c r="D291" s="4" t="s">
        <v>142</v>
      </c>
      <c r="F291" s="8" t="s">
        <v>162</v>
      </c>
      <c r="G291" s="13">
        <v>2005.2</v>
      </c>
      <c r="H291" s="4" t="s">
        <v>171</v>
      </c>
      <c r="J291" s="1" t="s">
        <v>28</v>
      </c>
      <c r="K291" s="4">
        <v>0.72</v>
      </c>
      <c r="L291" s="4">
        <v>811.58249999999998</v>
      </c>
      <c r="M291" s="6">
        <v>18</v>
      </c>
      <c r="N291" s="6">
        <f t="shared" si="16"/>
        <v>105.18109199999999</v>
      </c>
      <c r="O291" s="1">
        <v>4</v>
      </c>
      <c r="P291" s="1">
        <f t="shared" si="18"/>
        <v>23.373576</v>
      </c>
      <c r="Q291" s="6">
        <f t="shared" si="17"/>
        <v>584.33939999999996</v>
      </c>
      <c r="X291" s="6">
        <f t="shared" si="19"/>
        <v>712.89406799999995</v>
      </c>
      <c r="AB291" s="4" t="s">
        <v>234</v>
      </c>
      <c r="AC291" s="4" t="s">
        <v>232</v>
      </c>
    </row>
    <row r="292" spans="1:29" ht="33.75" customHeight="1" x14ac:dyDescent="0.35">
      <c r="A292" s="4" t="s">
        <v>31</v>
      </c>
      <c r="B292" s="4">
        <v>26055530</v>
      </c>
      <c r="C292" s="4" t="s">
        <v>27</v>
      </c>
      <c r="D292" s="4" t="s">
        <v>142</v>
      </c>
      <c r="F292" s="8" t="s">
        <v>162</v>
      </c>
      <c r="G292" s="13">
        <v>2005.2</v>
      </c>
      <c r="H292" s="4" t="s">
        <v>172</v>
      </c>
      <c r="J292" s="1" t="s">
        <v>28</v>
      </c>
      <c r="K292" s="4">
        <v>0.72</v>
      </c>
      <c r="L292" s="4">
        <v>811.58249999999998</v>
      </c>
      <c r="M292" s="6">
        <v>18</v>
      </c>
      <c r="N292" s="6">
        <f t="shared" si="16"/>
        <v>105.18109199999999</v>
      </c>
      <c r="O292" s="1">
        <v>4</v>
      </c>
      <c r="P292" s="1">
        <f t="shared" si="18"/>
        <v>23.373576</v>
      </c>
      <c r="Q292" s="6">
        <f t="shared" si="17"/>
        <v>584.33939999999996</v>
      </c>
      <c r="X292" s="6">
        <f t="shared" si="19"/>
        <v>712.89406799999995</v>
      </c>
      <c r="AB292" s="4" t="s">
        <v>234</v>
      </c>
      <c r="AC292" s="4" t="s">
        <v>232</v>
      </c>
    </row>
    <row r="293" spans="1:29" ht="33.75" customHeight="1" x14ac:dyDescent="0.35">
      <c r="A293" s="4" t="s">
        <v>31</v>
      </c>
      <c r="B293" s="4">
        <v>26055530</v>
      </c>
      <c r="C293" s="4" t="s">
        <v>27</v>
      </c>
      <c r="D293" s="4" t="s">
        <v>142</v>
      </c>
      <c r="F293" s="8" t="s">
        <v>162</v>
      </c>
      <c r="G293" s="13">
        <v>2005.2</v>
      </c>
      <c r="H293" s="4" t="s">
        <v>173</v>
      </c>
      <c r="J293" s="1" t="s">
        <v>28</v>
      </c>
      <c r="K293" s="4">
        <v>0.72</v>
      </c>
      <c r="L293" s="4">
        <v>811.58249999999998</v>
      </c>
      <c r="M293" s="6">
        <v>18</v>
      </c>
      <c r="N293" s="6">
        <f t="shared" si="16"/>
        <v>105.18109199999999</v>
      </c>
      <c r="O293" s="1">
        <v>4</v>
      </c>
      <c r="P293" s="1">
        <f t="shared" si="18"/>
        <v>23.373576</v>
      </c>
      <c r="Q293" s="6">
        <f t="shared" si="17"/>
        <v>584.33939999999996</v>
      </c>
      <c r="X293" s="6">
        <f t="shared" si="19"/>
        <v>712.89406799999995</v>
      </c>
      <c r="AB293" s="4" t="s">
        <v>234</v>
      </c>
      <c r="AC293" s="4" t="s">
        <v>232</v>
      </c>
    </row>
    <row r="294" spans="1:29" ht="33.75" customHeight="1" x14ac:dyDescent="0.35">
      <c r="A294" s="4" t="s">
        <v>31</v>
      </c>
      <c r="B294" s="4">
        <v>26055530</v>
      </c>
      <c r="C294" s="4" t="s">
        <v>27</v>
      </c>
      <c r="D294" s="4" t="s">
        <v>142</v>
      </c>
      <c r="F294" s="8" t="s">
        <v>162</v>
      </c>
      <c r="G294" s="13">
        <v>2005.2</v>
      </c>
      <c r="H294" s="4" t="s">
        <v>165</v>
      </c>
      <c r="J294" s="1" t="s">
        <v>28</v>
      </c>
      <c r="K294" s="4">
        <v>1.44</v>
      </c>
      <c r="L294" s="4">
        <v>1612.8676</v>
      </c>
      <c r="M294" s="6">
        <v>18</v>
      </c>
      <c r="N294" s="6">
        <f t="shared" si="16"/>
        <v>418.05528191999997</v>
      </c>
      <c r="O294" s="1">
        <v>4</v>
      </c>
      <c r="P294" s="1">
        <f t="shared" si="18"/>
        <v>92.901173760000006</v>
      </c>
      <c r="Q294" s="6">
        <f t="shared" si="17"/>
        <v>2322.529344</v>
      </c>
      <c r="X294" s="6">
        <f t="shared" si="19"/>
        <v>2833.4857996799997</v>
      </c>
      <c r="AB294" s="4" t="s">
        <v>234</v>
      </c>
      <c r="AC294" s="4" t="s">
        <v>232</v>
      </c>
    </row>
    <row r="295" spans="1:29" ht="33.75" customHeight="1" x14ac:dyDescent="0.35">
      <c r="A295" s="4" t="s">
        <v>31</v>
      </c>
      <c r="B295" s="4">
        <v>26055530</v>
      </c>
      <c r="C295" s="4" t="s">
        <v>27</v>
      </c>
      <c r="D295" s="4" t="s">
        <v>142</v>
      </c>
      <c r="F295" s="8" t="s">
        <v>162</v>
      </c>
      <c r="G295" s="6" t="s">
        <v>233</v>
      </c>
      <c r="H295" s="4" t="s">
        <v>174</v>
      </c>
      <c r="J295" s="1" t="s">
        <v>28</v>
      </c>
      <c r="K295" s="4">
        <v>1.0880000000000001</v>
      </c>
      <c r="L295" s="4">
        <v>938.63729999999998</v>
      </c>
      <c r="M295" s="6">
        <v>18</v>
      </c>
      <c r="N295" s="6">
        <f t="shared" si="16"/>
        <v>183.822728832</v>
      </c>
      <c r="O295" s="1">
        <v>4</v>
      </c>
      <c r="P295" s="1">
        <f t="shared" si="18"/>
        <v>40.849495296000001</v>
      </c>
      <c r="Q295" s="6">
        <f t="shared" si="17"/>
        <v>1021.2373824</v>
      </c>
      <c r="X295" s="6">
        <f t="shared" si="19"/>
        <v>1245.909606528</v>
      </c>
      <c r="AB295" s="4" t="s">
        <v>234</v>
      </c>
      <c r="AC295" s="4" t="s">
        <v>232</v>
      </c>
    </row>
    <row r="296" spans="1:29" ht="33.75" customHeight="1" x14ac:dyDescent="0.35">
      <c r="A296" s="4" t="s">
        <v>31</v>
      </c>
      <c r="B296" s="4">
        <v>26055530</v>
      </c>
      <c r="C296" s="4" t="s">
        <v>27</v>
      </c>
      <c r="D296" s="4" t="s">
        <v>142</v>
      </c>
      <c r="F296" s="8" t="s">
        <v>162</v>
      </c>
      <c r="G296" s="6" t="s">
        <v>233</v>
      </c>
      <c r="H296" s="4" t="s">
        <v>175</v>
      </c>
      <c r="J296" s="1" t="s">
        <v>28</v>
      </c>
      <c r="K296" s="4">
        <v>1.1200000000000001</v>
      </c>
      <c r="L296" s="4">
        <v>879.79780000000005</v>
      </c>
      <c r="M296" s="6">
        <v>18</v>
      </c>
      <c r="N296" s="6">
        <f t="shared" si="16"/>
        <v>177.36723648000003</v>
      </c>
      <c r="O296" s="1">
        <v>4</v>
      </c>
      <c r="P296" s="1">
        <f t="shared" si="18"/>
        <v>39.414941440000007</v>
      </c>
      <c r="Q296" s="6">
        <f t="shared" si="17"/>
        <v>985.37353600000017</v>
      </c>
      <c r="X296" s="6">
        <f t="shared" si="19"/>
        <v>1202.1557139200004</v>
      </c>
      <c r="AB296" s="4" t="s">
        <v>234</v>
      </c>
      <c r="AC296" s="4" t="s">
        <v>232</v>
      </c>
    </row>
    <row r="297" spans="1:29" ht="33.75" customHeight="1" x14ac:dyDescent="0.35">
      <c r="A297" s="4" t="s">
        <v>31</v>
      </c>
      <c r="B297" s="4">
        <v>26055530</v>
      </c>
      <c r="C297" s="4" t="s">
        <v>27</v>
      </c>
      <c r="D297" s="4" t="s">
        <v>142</v>
      </c>
      <c r="F297" s="8" t="s">
        <v>162</v>
      </c>
      <c r="G297" s="6" t="s">
        <v>233</v>
      </c>
      <c r="H297" s="4" t="s">
        <v>192</v>
      </c>
      <c r="J297" s="1" t="s">
        <v>28</v>
      </c>
      <c r="K297" s="4">
        <v>1.1200000000000001</v>
      </c>
      <c r="L297" s="4">
        <v>879.79780000000005</v>
      </c>
      <c r="M297" s="6">
        <v>18</v>
      </c>
      <c r="N297" s="6">
        <f t="shared" si="16"/>
        <v>177.36723648000003</v>
      </c>
      <c r="O297" s="1">
        <v>4</v>
      </c>
      <c r="P297" s="1">
        <f t="shared" si="18"/>
        <v>39.414941440000007</v>
      </c>
      <c r="Q297" s="6">
        <f t="shared" si="17"/>
        <v>985.37353600000017</v>
      </c>
      <c r="X297" s="6">
        <f t="shared" si="19"/>
        <v>1202.1557139200004</v>
      </c>
      <c r="AB297" s="4" t="s">
        <v>234</v>
      </c>
      <c r="AC297" s="4" t="s">
        <v>232</v>
      </c>
    </row>
    <row r="298" spans="1:29" ht="33.75" customHeight="1" x14ac:dyDescent="0.35">
      <c r="A298" s="4" t="s">
        <v>31</v>
      </c>
      <c r="B298" s="4">
        <v>26055530</v>
      </c>
      <c r="C298" s="4" t="s">
        <v>27</v>
      </c>
      <c r="D298" s="4" t="s">
        <v>142</v>
      </c>
      <c r="F298" s="8" t="s">
        <v>162</v>
      </c>
      <c r="G298" s="6" t="s">
        <v>233</v>
      </c>
      <c r="H298" s="4" t="s">
        <v>193</v>
      </c>
      <c r="J298" s="1" t="s">
        <v>28</v>
      </c>
      <c r="K298" s="4">
        <v>0.86399999999999999</v>
      </c>
      <c r="L298" s="4">
        <v>878.38390000000004</v>
      </c>
      <c r="M298" s="6">
        <v>18</v>
      </c>
      <c r="N298" s="6">
        <f t="shared" si="16"/>
        <v>136.60626412799999</v>
      </c>
      <c r="O298" s="1">
        <v>4</v>
      </c>
      <c r="P298" s="1">
        <f t="shared" si="18"/>
        <v>30.356947584</v>
      </c>
      <c r="Q298" s="6">
        <f t="shared" si="17"/>
        <v>758.92368959999999</v>
      </c>
      <c r="X298" s="6">
        <f t="shared" si="19"/>
        <v>925.88690131199996</v>
      </c>
      <c r="AB298" s="4" t="s">
        <v>234</v>
      </c>
      <c r="AC298" s="4" t="s">
        <v>232</v>
      </c>
    </row>
    <row r="299" spans="1:29" ht="33.75" customHeight="1" x14ac:dyDescent="0.35">
      <c r="A299" s="4" t="s">
        <v>31</v>
      </c>
      <c r="B299" s="4">
        <v>26055530</v>
      </c>
      <c r="C299" s="4" t="s">
        <v>27</v>
      </c>
      <c r="D299" s="4" t="s">
        <v>142</v>
      </c>
      <c r="F299" s="8" t="s">
        <v>162</v>
      </c>
      <c r="G299" s="6" t="s">
        <v>233</v>
      </c>
      <c r="H299" s="4" t="s">
        <v>224</v>
      </c>
      <c r="J299" s="1" t="s">
        <v>28</v>
      </c>
      <c r="K299" s="4">
        <v>0.98399999999999999</v>
      </c>
      <c r="L299" s="4">
        <v>879.20180000000005</v>
      </c>
      <c r="M299" s="6">
        <v>18</v>
      </c>
      <c r="N299" s="6">
        <f t="shared" si="16"/>
        <v>155.72422281599998</v>
      </c>
      <c r="O299" s="1">
        <v>4</v>
      </c>
      <c r="P299" s="1">
        <f t="shared" si="18"/>
        <v>34.605382847999998</v>
      </c>
      <c r="Q299" s="6">
        <f t="shared" si="17"/>
        <v>865.13457119999998</v>
      </c>
      <c r="X299" s="6">
        <f t="shared" si="19"/>
        <v>1055.4641768639999</v>
      </c>
      <c r="AB299" s="4" t="s">
        <v>234</v>
      </c>
      <c r="AC299" s="4" t="s">
        <v>232</v>
      </c>
    </row>
    <row r="300" spans="1:29" ht="33.75" customHeight="1" x14ac:dyDescent="0.35">
      <c r="A300" s="4" t="s">
        <v>31</v>
      </c>
      <c r="B300" s="4">
        <v>26055530</v>
      </c>
      <c r="C300" s="4" t="s">
        <v>27</v>
      </c>
      <c r="D300" s="4" t="s">
        <v>142</v>
      </c>
      <c r="F300" s="8" t="s">
        <v>162</v>
      </c>
      <c r="G300" s="6" t="s">
        <v>233</v>
      </c>
      <c r="H300" s="4" t="s">
        <v>218</v>
      </c>
      <c r="J300" s="1" t="s">
        <v>28</v>
      </c>
      <c r="K300" s="4">
        <v>0.496</v>
      </c>
      <c r="L300" s="4">
        <v>584.99019999999996</v>
      </c>
      <c r="M300" s="6">
        <v>18</v>
      </c>
      <c r="N300" s="6">
        <f t="shared" si="16"/>
        <v>52.227925055999989</v>
      </c>
      <c r="O300" s="1">
        <v>4</v>
      </c>
      <c r="P300" s="1">
        <f t="shared" si="18"/>
        <v>11.606205567999998</v>
      </c>
      <c r="Q300" s="6">
        <f t="shared" si="17"/>
        <v>290.15513919999995</v>
      </c>
      <c r="X300" s="6">
        <f t="shared" si="19"/>
        <v>353.98926982399996</v>
      </c>
      <c r="AB300" s="4" t="s">
        <v>234</v>
      </c>
      <c r="AC300" s="4" t="s">
        <v>232</v>
      </c>
    </row>
    <row r="301" spans="1:29" ht="33.75" customHeight="1" x14ac:dyDescent="0.35">
      <c r="A301" s="4" t="s">
        <v>31</v>
      </c>
      <c r="B301" s="4">
        <v>26055530</v>
      </c>
      <c r="C301" s="4" t="s">
        <v>27</v>
      </c>
      <c r="D301" s="4" t="s">
        <v>142</v>
      </c>
      <c r="F301" s="8" t="s">
        <v>162</v>
      </c>
      <c r="G301" s="6" t="s">
        <v>233</v>
      </c>
      <c r="H301" s="4" t="s">
        <v>226</v>
      </c>
      <c r="J301" s="1" t="s">
        <v>28</v>
      </c>
      <c r="K301" s="4">
        <v>1.0880000000000001</v>
      </c>
      <c r="L301" s="4">
        <v>938.63729999999998</v>
      </c>
      <c r="M301" s="6">
        <v>18</v>
      </c>
      <c r="N301" s="6">
        <f t="shared" si="16"/>
        <v>183.822728832</v>
      </c>
      <c r="O301" s="1">
        <v>4</v>
      </c>
      <c r="P301" s="1">
        <f t="shared" si="18"/>
        <v>40.849495296000001</v>
      </c>
      <c r="Q301" s="6">
        <f t="shared" si="17"/>
        <v>1021.2373824</v>
      </c>
      <c r="X301" s="6">
        <f t="shared" si="19"/>
        <v>1245.909606528</v>
      </c>
      <c r="AB301" s="4" t="s">
        <v>234</v>
      </c>
      <c r="AC301" s="4" t="s">
        <v>232</v>
      </c>
    </row>
    <row r="302" spans="1:29" ht="33.75" customHeight="1" x14ac:dyDescent="0.35">
      <c r="A302" s="4" t="s">
        <v>31</v>
      </c>
      <c r="B302" s="4">
        <v>26055530</v>
      </c>
      <c r="C302" s="4" t="s">
        <v>27</v>
      </c>
      <c r="D302" s="4" t="s">
        <v>142</v>
      </c>
      <c r="F302" s="8" t="s">
        <v>162</v>
      </c>
      <c r="G302" s="6" t="s">
        <v>233</v>
      </c>
      <c r="H302" s="4" t="s">
        <v>176</v>
      </c>
      <c r="J302" s="1" t="s">
        <v>28</v>
      </c>
      <c r="K302" s="4">
        <v>1.0880000000000001</v>
      </c>
      <c r="L302" s="4">
        <v>938.63729999999998</v>
      </c>
      <c r="M302" s="6">
        <v>18</v>
      </c>
      <c r="N302" s="6">
        <f t="shared" si="16"/>
        <v>183.822728832</v>
      </c>
      <c r="O302" s="1">
        <v>4</v>
      </c>
      <c r="P302" s="1">
        <f t="shared" si="18"/>
        <v>40.849495296000001</v>
      </c>
      <c r="Q302" s="6">
        <f t="shared" si="17"/>
        <v>1021.2373824</v>
      </c>
      <c r="X302" s="6">
        <f t="shared" si="19"/>
        <v>1245.909606528</v>
      </c>
      <c r="AB302" s="4" t="s">
        <v>234</v>
      </c>
      <c r="AC302" s="4" t="s">
        <v>232</v>
      </c>
    </row>
    <row r="303" spans="1:29" ht="33.75" customHeight="1" x14ac:dyDescent="0.35">
      <c r="A303" s="4" t="s">
        <v>31</v>
      </c>
      <c r="B303" s="4">
        <v>26055530</v>
      </c>
      <c r="C303" s="4" t="s">
        <v>27</v>
      </c>
      <c r="D303" s="4" t="s">
        <v>142</v>
      </c>
      <c r="F303" s="8" t="s">
        <v>162</v>
      </c>
      <c r="G303" s="6" t="s">
        <v>233</v>
      </c>
      <c r="H303" s="4" t="s">
        <v>219</v>
      </c>
      <c r="J303" s="1" t="s">
        <v>28</v>
      </c>
      <c r="K303" s="4">
        <v>0.64800000000000002</v>
      </c>
      <c r="L303" s="4">
        <v>791.94590000000005</v>
      </c>
      <c r="M303" s="6">
        <v>18</v>
      </c>
      <c r="N303" s="6">
        <f t="shared" si="16"/>
        <v>92.372569775999992</v>
      </c>
      <c r="O303" s="1">
        <v>4</v>
      </c>
      <c r="P303" s="1">
        <f t="shared" si="18"/>
        <v>20.527237727999999</v>
      </c>
      <c r="Q303" s="6">
        <f t="shared" si="17"/>
        <v>513.1809432</v>
      </c>
      <c r="X303" s="6">
        <f t="shared" si="19"/>
        <v>626.08075070400002</v>
      </c>
      <c r="AB303" s="4" t="s">
        <v>234</v>
      </c>
      <c r="AC303" s="4" t="s">
        <v>232</v>
      </c>
    </row>
    <row r="304" spans="1:29" ht="33.75" customHeight="1" x14ac:dyDescent="0.35">
      <c r="A304" s="4" t="s">
        <v>31</v>
      </c>
      <c r="B304" s="4">
        <v>26055530</v>
      </c>
      <c r="C304" s="4" t="s">
        <v>27</v>
      </c>
      <c r="D304" s="4" t="s">
        <v>142</v>
      </c>
      <c r="F304" s="8" t="s">
        <v>162</v>
      </c>
      <c r="G304" s="13">
        <v>2005.2</v>
      </c>
      <c r="H304" s="4" t="s">
        <v>178</v>
      </c>
      <c r="J304" s="1" t="s">
        <v>28</v>
      </c>
      <c r="K304" s="4">
        <v>1.3759999999999999</v>
      </c>
      <c r="L304" s="4">
        <v>1623.1649</v>
      </c>
      <c r="M304" s="6">
        <v>18</v>
      </c>
      <c r="N304" s="6">
        <f t="shared" si="16"/>
        <v>402.02548243199993</v>
      </c>
      <c r="O304" s="1">
        <v>4</v>
      </c>
      <c r="P304" s="1">
        <f t="shared" si="18"/>
        <v>89.338996095999988</v>
      </c>
      <c r="Q304" s="6">
        <f t="shared" si="17"/>
        <v>2233.4749023999998</v>
      </c>
      <c r="X304" s="6">
        <f t="shared" si="19"/>
        <v>2724.8393809279996</v>
      </c>
      <c r="AB304" s="4" t="s">
        <v>234</v>
      </c>
      <c r="AC304" s="4" t="s">
        <v>232</v>
      </c>
    </row>
    <row r="305" spans="1:29" ht="33.75" customHeight="1" x14ac:dyDescent="0.35">
      <c r="A305" s="4" t="s">
        <v>31</v>
      </c>
      <c r="B305" s="4">
        <v>26055531</v>
      </c>
      <c r="C305" s="4" t="s">
        <v>27</v>
      </c>
      <c r="D305" s="4" t="s">
        <v>143</v>
      </c>
      <c r="F305" s="8">
        <v>3710113969445</v>
      </c>
      <c r="G305" s="13">
        <v>2005.2</v>
      </c>
      <c r="H305" s="4" t="s">
        <v>170</v>
      </c>
      <c r="J305" s="1" t="s">
        <v>28</v>
      </c>
      <c r="K305" s="4">
        <v>0.06</v>
      </c>
      <c r="L305" s="4">
        <v>75.485799999999998</v>
      </c>
      <c r="M305" s="6">
        <v>18</v>
      </c>
      <c r="N305" s="6">
        <f t="shared" si="16"/>
        <v>0.8152466399999998</v>
      </c>
      <c r="O305" s="1">
        <v>4</v>
      </c>
      <c r="P305" s="1">
        <f t="shared" si="18"/>
        <v>0.18116591999999998</v>
      </c>
      <c r="Q305" s="6">
        <f t="shared" si="17"/>
        <v>4.5291479999999993</v>
      </c>
      <c r="X305" s="6">
        <f t="shared" si="19"/>
        <v>5.5255605599999988</v>
      </c>
      <c r="AB305" s="4" t="s">
        <v>234</v>
      </c>
      <c r="AC305" s="4" t="s">
        <v>232</v>
      </c>
    </row>
    <row r="306" spans="1:29" ht="33.75" customHeight="1" x14ac:dyDescent="0.35">
      <c r="A306" s="4" t="s">
        <v>31</v>
      </c>
      <c r="B306" s="4">
        <v>26055532</v>
      </c>
      <c r="C306" s="4" t="s">
        <v>27</v>
      </c>
      <c r="D306" s="4" t="s">
        <v>144</v>
      </c>
      <c r="F306" s="7">
        <v>9999999</v>
      </c>
      <c r="G306" s="6" t="s">
        <v>233</v>
      </c>
      <c r="H306" s="4" t="s">
        <v>185</v>
      </c>
      <c r="J306" s="1" t="s">
        <v>28</v>
      </c>
      <c r="K306" s="4">
        <v>0.86399999999999999</v>
      </c>
      <c r="L306" s="4">
        <v>914.98320000000001</v>
      </c>
      <c r="M306" s="6">
        <v>18</v>
      </c>
      <c r="N306" s="6">
        <f t="shared" si="16"/>
        <v>142.29818726400001</v>
      </c>
      <c r="O306" s="1">
        <v>4</v>
      </c>
      <c r="P306" s="1">
        <f t="shared" si="18"/>
        <v>31.621819392000003</v>
      </c>
      <c r="Q306" s="6">
        <f t="shared" si="17"/>
        <v>790.54548480000005</v>
      </c>
      <c r="X306" s="6">
        <f t="shared" si="19"/>
        <v>964.46549145600011</v>
      </c>
      <c r="AB306" s="4" t="s">
        <v>234</v>
      </c>
      <c r="AC306" s="4" t="s">
        <v>232</v>
      </c>
    </row>
    <row r="307" spans="1:29" ht="33.75" customHeight="1" x14ac:dyDescent="0.35">
      <c r="A307" s="4" t="s">
        <v>31</v>
      </c>
      <c r="B307" s="4">
        <v>26055532</v>
      </c>
      <c r="C307" s="4" t="s">
        <v>27</v>
      </c>
      <c r="D307" s="4" t="s">
        <v>144</v>
      </c>
      <c r="F307" s="7">
        <v>9999999</v>
      </c>
      <c r="G307" s="13">
        <v>2005.2</v>
      </c>
      <c r="H307" s="4" t="s">
        <v>188</v>
      </c>
      <c r="J307" s="1" t="s">
        <v>28</v>
      </c>
      <c r="K307" s="4">
        <v>0.69599999999999995</v>
      </c>
      <c r="L307" s="4">
        <v>905.82960000000003</v>
      </c>
      <c r="M307" s="6">
        <v>18</v>
      </c>
      <c r="N307" s="6">
        <f t="shared" si="16"/>
        <v>113.48233228799999</v>
      </c>
      <c r="O307" s="1">
        <v>4</v>
      </c>
      <c r="P307" s="1">
        <f t="shared" si="18"/>
        <v>25.218296064</v>
      </c>
      <c r="Q307" s="6">
        <f t="shared" si="17"/>
        <v>630.45740160000003</v>
      </c>
      <c r="X307" s="6">
        <f t="shared" si="19"/>
        <v>769.15802995199999</v>
      </c>
      <c r="AB307" s="4" t="s">
        <v>234</v>
      </c>
      <c r="AC307" s="4" t="s">
        <v>232</v>
      </c>
    </row>
    <row r="308" spans="1:29" ht="33.75" customHeight="1" x14ac:dyDescent="0.35">
      <c r="A308" s="4" t="s">
        <v>31</v>
      </c>
      <c r="B308" s="4">
        <v>26055533</v>
      </c>
      <c r="C308" s="4" t="s">
        <v>27</v>
      </c>
      <c r="D308" s="4" t="s">
        <v>145</v>
      </c>
      <c r="F308" s="7">
        <v>9999999</v>
      </c>
      <c r="G308" s="13">
        <v>2005.2</v>
      </c>
      <c r="H308" s="4" t="s">
        <v>181</v>
      </c>
      <c r="J308" s="1" t="s">
        <v>28</v>
      </c>
      <c r="K308" s="4">
        <v>1.44</v>
      </c>
      <c r="L308" s="4">
        <v>1811.6592000000001</v>
      </c>
      <c r="M308" s="6">
        <v>18</v>
      </c>
      <c r="N308" s="6">
        <f t="shared" si="16"/>
        <v>469.58206464</v>
      </c>
      <c r="O308" s="1">
        <v>4</v>
      </c>
      <c r="P308" s="1">
        <f t="shared" si="18"/>
        <v>104.35156992</v>
      </c>
      <c r="Q308" s="6">
        <f t="shared" si="17"/>
        <v>2608.789248</v>
      </c>
      <c r="X308" s="6">
        <f t="shared" si="19"/>
        <v>3182.72288256</v>
      </c>
      <c r="AB308" s="4" t="s">
        <v>234</v>
      </c>
      <c r="AC308" s="4" t="s">
        <v>232</v>
      </c>
    </row>
    <row r="309" spans="1:29" ht="33.75" customHeight="1" x14ac:dyDescent="0.35">
      <c r="A309" s="4" t="s">
        <v>31</v>
      </c>
      <c r="B309" s="4">
        <v>26055533</v>
      </c>
      <c r="C309" s="4" t="s">
        <v>27</v>
      </c>
      <c r="D309" s="4" t="s">
        <v>145</v>
      </c>
      <c r="F309" s="7">
        <v>9999999</v>
      </c>
      <c r="G309" s="13">
        <v>2005.2</v>
      </c>
      <c r="H309" s="4" t="s">
        <v>182</v>
      </c>
      <c r="J309" s="1" t="s">
        <v>28</v>
      </c>
      <c r="K309" s="4">
        <v>0.72</v>
      </c>
      <c r="L309" s="4">
        <v>905.82960000000003</v>
      </c>
      <c r="M309" s="6">
        <v>18</v>
      </c>
      <c r="N309" s="6">
        <f t="shared" si="16"/>
        <v>117.39551616</v>
      </c>
      <c r="O309" s="1">
        <v>4</v>
      </c>
      <c r="P309" s="1">
        <f t="shared" si="18"/>
        <v>26.087892480000001</v>
      </c>
      <c r="Q309" s="6">
        <f t="shared" si="17"/>
        <v>652.19731200000001</v>
      </c>
      <c r="X309" s="6">
        <f t="shared" si="19"/>
        <v>795.68072064</v>
      </c>
      <c r="AB309" s="4" t="s">
        <v>234</v>
      </c>
      <c r="AC309" s="4" t="s">
        <v>232</v>
      </c>
    </row>
    <row r="310" spans="1:29" ht="33.75" customHeight="1" x14ac:dyDescent="0.35">
      <c r="A310" s="4" t="s">
        <v>31</v>
      </c>
      <c r="B310" s="4">
        <v>26055533</v>
      </c>
      <c r="C310" s="4" t="s">
        <v>27</v>
      </c>
      <c r="D310" s="4" t="s">
        <v>145</v>
      </c>
      <c r="F310" s="7">
        <v>9999999</v>
      </c>
      <c r="G310" s="13">
        <v>2005.2</v>
      </c>
      <c r="H310" s="4" t="s">
        <v>163</v>
      </c>
      <c r="J310" s="1" t="s">
        <v>28</v>
      </c>
      <c r="K310" s="4">
        <v>0.72</v>
      </c>
      <c r="L310" s="4">
        <v>840.03520000000003</v>
      </c>
      <c r="M310" s="6">
        <v>18</v>
      </c>
      <c r="N310" s="6">
        <f t="shared" si="16"/>
        <v>108.86856191999999</v>
      </c>
      <c r="O310" s="1">
        <v>4</v>
      </c>
      <c r="P310" s="1">
        <f t="shared" si="18"/>
        <v>24.193013759999999</v>
      </c>
      <c r="Q310" s="6">
        <f t="shared" si="17"/>
        <v>604.82534399999997</v>
      </c>
      <c r="X310" s="6">
        <f t="shared" si="19"/>
        <v>737.88691967999989</v>
      </c>
      <c r="AB310" s="4" t="s">
        <v>234</v>
      </c>
      <c r="AC310" s="4" t="s">
        <v>232</v>
      </c>
    </row>
    <row r="311" spans="1:29" ht="33.75" customHeight="1" x14ac:dyDescent="0.35">
      <c r="A311" s="4" t="s">
        <v>31</v>
      </c>
      <c r="B311" s="4">
        <v>26055533</v>
      </c>
      <c r="C311" s="4" t="s">
        <v>27</v>
      </c>
      <c r="D311" s="4" t="s">
        <v>145</v>
      </c>
      <c r="F311" s="7">
        <v>9999999</v>
      </c>
      <c r="G311" s="13">
        <v>2005.2</v>
      </c>
      <c r="H311" s="4" t="s">
        <v>189</v>
      </c>
      <c r="J311" s="1" t="s">
        <v>28</v>
      </c>
      <c r="K311" s="4">
        <v>0.68799999999999994</v>
      </c>
      <c r="L311" s="4">
        <v>845.39840000000004</v>
      </c>
      <c r="M311" s="6">
        <v>18</v>
      </c>
      <c r="N311" s="6">
        <f t="shared" si="16"/>
        <v>104.69413785599998</v>
      </c>
      <c r="O311" s="1">
        <v>4</v>
      </c>
      <c r="P311" s="1">
        <f t="shared" si="18"/>
        <v>23.265363967999996</v>
      </c>
      <c r="Q311" s="6">
        <f t="shared" si="17"/>
        <v>581.63409919999992</v>
      </c>
      <c r="X311" s="6">
        <f t="shared" si="19"/>
        <v>709.5936010239999</v>
      </c>
      <c r="AB311" s="4" t="s">
        <v>234</v>
      </c>
      <c r="AC311" s="4" t="s">
        <v>232</v>
      </c>
    </row>
    <row r="312" spans="1:29" ht="33.75" customHeight="1" x14ac:dyDescent="0.35">
      <c r="A312" s="4" t="s">
        <v>31</v>
      </c>
      <c r="B312" s="4">
        <v>26055534</v>
      </c>
      <c r="C312" s="4" t="s">
        <v>27</v>
      </c>
      <c r="D312" s="4" t="s">
        <v>146</v>
      </c>
      <c r="F312" s="7">
        <v>9999999</v>
      </c>
      <c r="G312" s="13">
        <v>2005.2</v>
      </c>
      <c r="H312" s="4" t="s">
        <v>182</v>
      </c>
      <c r="J312" s="1" t="s">
        <v>28</v>
      </c>
      <c r="K312" s="4">
        <v>0.06</v>
      </c>
      <c r="L312" s="4">
        <v>73.976100000000002</v>
      </c>
      <c r="M312" s="6">
        <v>18</v>
      </c>
      <c r="N312" s="6">
        <f t="shared" si="16"/>
        <v>0.79894187999999988</v>
      </c>
      <c r="O312" s="1">
        <v>4</v>
      </c>
      <c r="P312" s="1">
        <f t="shared" si="18"/>
        <v>0.17754264</v>
      </c>
      <c r="Q312" s="6">
        <f t="shared" si="17"/>
        <v>4.4385659999999998</v>
      </c>
      <c r="X312" s="6">
        <f t="shared" si="19"/>
        <v>5.4150505200000003</v>
      </c>
      <c r="AB312" s="4" t="s">
        <v>234</v>
      </c>
      <c r="AC312" s="4" t="s">
        <v>232</v>
      </c>
    </row>
    <row r="313" spans="1:29" ht="33.75" customHeight="1" x14ac:dyDescent="0.35">
      <c r="A313" s="4" t="s">
        <v>31</v>
      </c>
      <c r="B313" s="4">
        <v>26055535</v>
      </c>
      <c r="C313" s="4" t="s">
        <v>27</v>
      </c>
      <c r="D313" s="4" t="s">
        <v>147</v>
      </c>
      <c r="F313" s="7">
        <v>9999999</v>
      </c>
      <c r="G313" s="13">
        <v>2005.2</v>
      </c>
      <c r="H313" s="4" t="s">
        <v>205</v>
      </c>
      <c r="J313" s="1" t="s">
        <v>28</v>
      </c>
      <c r="K313" s="4">
        <v>0.86399999999999999</v>
      </c>
      <c r="L313" s="4">
        <v>876.68640000000005</v>
      </c>
      <c r="M313" s="6">
        <v>18</v>
      </c>
      <c r="N313" s="6">
        <f t="shared" si="16"/>
        <v>136.34226892800001</v>
      </c>
      <c r="O313" s="1">
        <v>4</v>
      </c>
      <c r="P313" s="1">
        <f t="shared" si="18"/>
        <v>30.298281983999999</v>
      </c>
      <c r="Q313" s="6">
        <f t="shared" si="17"/>
        <v>757.4570496</v>
      </c>
      <c r="X313" s="6">
        <f t="shared" si="19"/>
        <v>924.09760051199999</v>
      </c>
      <c r="AB313" s="4" t="s">
        <v>234</v>
      </c>
      <c r="AC313" s="4" t="s">
        <v>232</v>
      </c>
    </row>
    <row r="314" spans="1:29" ht="33.75" customHeight="1" x14ac:dyDescent="0.35">
      <c r="A314" s="4" t="s">
        <v>31</v>
      </c>
      <c r="B314" s="4">
        <v>26055535</v>
      </c>
      <c r="C314" s="4" t="s">
        <v>27</v>
      </c>
      <c r="D314" s="4" t="s">
        <v>147</v>
      </c>
      <c r="F314" s="7">
        <v>9999999</v>
      </c>
      <c r="G314" s="13">
        <v>2005.2</v>
      </c>
      <c r="H314" s="4" t="s">
        <v>189</v>
      </c>
      <c r="J314" s="1" t="s">
        <v>28</v>
      </c>
      <c r="K314" s="4">
        <v>0.68799999999999994</v>
      </c>
      <c r="L314" s="4">
        <v>820.03639999999996</v>
      </c>
      <c r="M314" s="6">
        <v>18</v>
      </c>
      <c r="N314" s="6">
        <f t="shared" si="16"/>
        <v>101.55330777599997</v>
      </c>
      <c r="O314" s="1">
        <v>4</v>
      </c>
      <c r="P314" s="1">
        <f t="shared" si="18"/>
        <v>22.567401727999997</v>
      </c>
      <c r="Q314" s="6">
        <f t="shared" si="17"/>
        <v>564.18504319999988</v>
      </c>
      <c r="X314" s="6">
        <f t="shared" si="19"/>
        <v>688.30575270399993</v>
      </c>
      <c r="AB314" s="4" t="s">
        <v>234</v>
      </c>
      <c r="AC314" s="4" t="s">
        <v>232</v>
      </c>
    </row>
    <row r="315" spans="1:29" ht="33.75" customHeight="1" x14ac:dyDescent="0.35">
      <c r="A315" s="4" t="s">
        <v>31</v>
      </c>
      <c r="B315" s="4">
        <v>26055536</v>
      </c>
      <c r="C315" s="4" t="s">
        <v>27</v>
      </c>
      <c r="D315" s="4" t="s">
        <v>148</v>
      </c>
      <c r="F315" s="7">
        <v>9999999</v>
      </c>
      <c r="G315" s="13">
        <v>2005.2</v>
      </c>
      <c r="H315" s="4" t="s">
        <v>214</v>
      </c>
      <c r="J315" s="1" t="s">
        <v>28</v>
      </c>
      <c r="K315" s="4">
        <v>0.86399999999999999</v>
      </c>
      <c r="L315" s="4">
        <v>903.80039999999997</v>
      </c>
      <c r="M315" s="6">
        <v>18</v>
      </c>
      <c r="N315" s="6">
        <f t="shared" si="16"/>
        <v>140.55903820799998</v>
      </c>
      <c r="O315" s="1">
        <v>4</v>
      </c>
      <c r="P315" s="1">
        <f t="shared" si="18"/>
        <v>31.235341823999999</v>
      </c>
      <c r="Q315" s="6">
        <f t="shared" si="17"/>
        <v>780.88354559999993</v>
      </c>
      <c r="X315" s="6">
        <f t="shared" si="19"/>
        <v>952.67792563199987</v>
      </c>
      <c r="AB315" s="4" t="s">
        <v>234</v>
      </c>
      <c r="AC315" s="4" t="s">
        <v>232</v>
      </c>
    </row>
    <row r="316" spans="1:29" ht="33.75" customHeight="1" x14ac:dyDescent="0.35">
      <c r="A316" s="4" t="s">
        <v>31</v>
      </c>
      <c r="B316" s="4">
        <v>26055536</v>
      </c>
      <c r="C316" s="4" t="s">
        <v>27</v>
      </c>
      <c r="D316" s="4" t="s">
        <v>148</v>
      </c>
      <c r="F316" s="7">
        <v>9999999</v>
      </c>
      <c r="G316" s="13">
        <v>2005.2</v>
      </c>
      <c r="H316" s="4" t="s">
        <v>195</v>
      </c>
      <c r="J316" s="1" t="s">
        <v>28</v>
      </c>
      <c r="K316" s="4">
        <v>0.72</v>
      </c>
      <c r="L316" s="4">
        <v>845.39840000000004</v>
      </c>
      <c r="M316" s="6">
        <v>18</v>
      </c>
      <c r="N316" s="6">
        <f t="shared" si="16"/>
        <v>109.56363264000001</v>
      </c>
      <c r="O316" s="1">
        <v>4</v>
      </c>
      <c r="P316" s="1">
        <f t="shared" si="18"/>
        <v>24.347473920000002</v>
      </c>
      <c r="Q316" s="6">
        <f t="shared" si="17"/>
        <v>608.68684800000005</v>
      </c>
      <c r="X316" s="6">
        <f t="shared" si="19"/>
        <v>742.59795456000006</v>
      </c>
      <c r="AB316" s="4" t="s">
        <v>234</v>
      </c>
      <c r="AC316" s="4" t="s">
        <v>232</v>
      </c>
    </row>
    <row r="317" spans="1:29" ht="33.75" customHeight="1" x14ac:dyDescent="0.35">
      <c r="A317" s="4" t="s">
        <v>31</v>
      </c>
      <c r="B317" s="4">
        <v>26055536</v>
      </c>
      <c r="C317" s="4" t="s">
        <v>27</v>
      </c>
      <c r="D317" s="4" t="s">
        <v>148</v>
      </c>
      <c r="F317" s="7">
        <v>9999999</v>
      </c>
      <c r="G317" s="6" t="s">
        <v>233</v>
      </c>
      <c r="H317" s="4" t="s">
        <v>209</v>
      </c>
      <c r="J317" s="1" t="s">
        <v>28</v>
      </c>
      <c r="K317" s="4">
        <v>1.1200000000000001</v>
      </c>
      <c r="L317" s="4">
        <v>916.45600000000002</v>
      </c>
      <c r="M317" s="6">
        <v>18</v>
      </c>
      <c r="N317" s="6">
        <f t="shared" si="16"/>
        <v>184.7575296</v>
      </c>
      <c r="O317" s="1">
        <v>4</v>
      </c>
      <c r="P317" s="1">
        <f t="shared" si="18"/>
        <v>41.057228800000004</v>
      </c>
      <c r="Q317" s="6">
        <f t="shared" si="17"/>
        <v>1026.4307200000001</v>
      </c>
      <c r="X317" s="6">
        <f t="shared" si="19"/>
        <v>1252.2454784000001</v>
      </c>
      <c r="AB317" s="4" t="s">
        <v>234</v>
      </c>
      <c r="AC317" s="4" t="s">
        <v>232</v>
      </c>
    </row>
    <row r="318" spans="1:29" ht="33.75" customHeight="1" x14ac:dyDescent="0.35">
      <c r="A318" s="4" t="s">
        <v>31</v>
      </c>
      <c r="B318" s="4">
        <v>26055536</v>
      </c>
      <c r="C318" s="4" t="s">
        <v>27</v>
      </c>
      <c r="D318" s="4" t="s">
        <v>148</v>
      </c>
      <c r="F318" s="7">
        <v>9999999</v>
      </c>
      <c r="G318" s="13">
        <v>2005.2</v>
      </c>
      <c r="H318" s="4" t="s">
        <v>189</v>
      </c>
      <c r="J318" s="1" t="s">
        <v>28</v>
      </c>
      <c r="K318" s="4">
        <v>0.68799999999999994</v>
      </c>
      <c r="L318" s="4">
        <v>845.39840000000004</v>
      </c>
      <c r="M318" s="6">
        <v>18</v>
      </c>
      <c r="N318" s="6">
        <f t="shared" si="16"/>
        <v>104.69413785599998</v>
      </c>
      <c r="O318" s="1">
        <v>4</v>
      </c>
      <c r="P318" s="1">
        <f t="shared" si="18"/>
        <v>23.265363967999996</v>
      </c>
      <c r="Q318" s="6">
        <f t="shared" si="17"/>
        <v>581.63409919999992</v>
      </c>
      <c r="X318" s="6">
        <f t="shared" si="19"/>
        <v>709.5936010239999</v>
      </c>
      <c r="AB318" s="4" t="s">
        <v>234</v>
      </c>
      <c r="AC318" s="4" t="s">
        <v>232</v>
      </c>
    </row>
    <row r="319" spans="1:29" ht="33.75" customHeight="1" x14ac:dyDescent="0.35">
      <c r="A319" s="4" t="s">
        <v>31</v>
      </c>
      <c r="B319" s="4">
        <v>26055537</v>
      </c>
      <c r="C319" s="4" t="s">
        <v>27</v>
      </c>
      <c r="D319" s="4" t="s">
        <v>149</v>
      </c>
      <c r="F319" s="8">
        <v>2110420212699</v>
      </c>
      <c r="G319" s="13">
        <v>2005.2</v>
      </c>
      <c r="H319" s="4" t="s">
        <v>170</v>
      </c>
      <c r="J319" s="1" t="s">
        <v>28</v>
      </c>
      <c r="K319" s="4">
        <v>0.06</v>
      </c>
      <c r="L319" s="4">
        <v>72.466399999999993</v>
      </c>
      <c r="M319" s="6">
        <v>18</v>
      </c>
      <c r="N319" s="6">
        <f t="shared" si="16"/>
        <v>0.78263711999999985</v>
      </c>
      <c r="O319" s="1">
        <v>4</v>
      </c>
      <c r="P319" s="1">
        <f t="shared" si="18"/>
        <v>0.17391935999999997</v>
      </c>
      <c r="Q319" s="6">
        <f t="shared" si="17"/>
        <v>4.3479839999999994</v>
      </c>
      <c r="X319" s="6">
        <f t="shared" si="19"/>
        <v>5.3045404799999991</v>
      </c>
      <c r="AB319" s="4" t="s">
        <v>234</v>
      </c>
      <c r="AC319" s="4" t="s">
        <v>232</v>
      </c>
    </row>
    <row r="320" spans="1:29" ht="33.75" customHeight="1" x14ac:dyDescent="0.35">
      <c r="A320" s="4" t="s">
        <v>31</v>
      </c>
      <c r="B320" s="4">
        <v>26055564</v>
      </c>
      <c r="C320" s="4" t="s">
        <v>27</v>
      </c>
      <c r="D320" s="4" t="s">
        <v>150</v>
      </c>
      <c r="F320" s="8">
        <v>3710153376725</v>
      </c>
      <c r="G320" s="13">
        <v>2005.2</v>
      </c>
      <c r="H320" s="4" t="s">
        <v>170</v>
      </c>
      <c r="J320" s="1" t="s">
        <v>28</v>
      </c>
      <c r="K320" s="4">
        <v>2.16</v>
      </c>
      <c r="L320" s="4">
        <v>2581.6143999999999</v>
      </c>
      <c r="M320" s="6">
        <v>18</v>
      </c>
      <c r="N320" s="6">
        <f t="shared" si="16"/>
        <v>1003.73167872</v>
      </c>
      <c r="O320" s="1">
        <v>4</v>
      </c>
      <c r="P320" s="1">
        <f t="shared" si="18"/>
        <v>223.05148416</v>
      </c>
      <c r="Q320" s="6">
        <f t="shared" si="17"/>
        <v>5576.287104</v>
      </c>
      <c r="X320" s="6">
        <f t="shared" si="19"/>
        <v>6803.0702668799995</v>
      </c>
      <c r="AB320" s="4" t="s">
        <v>234</v>
      </c>
      <c r="AC320" s="4" t="s">
        <v>232</v>
      </c>
    </row>
    <row r="321" spans="1:29" ht="33.75" customHeight="1" x14ac:dyDescent="0.35">
      <c r="A321" s="4" t="s">
        <v>31</v>
      </c>
      <c r="B321" s="4">
        <v>26055564</v>
      </c>
      <c r="C321" s="4" t="s">
        <v>27</v>
      </c>
      <c r="D321" s="4" t="s">
        <v>150</v>
      </c>
      <c r="F321" s="8">
        <v>3710153376725</v>
      </c>
      <c r="G321" s="13">
        <v>2005.2</v>
      </c>
      <c r="H321" s="4" t="s">
        <v>177</v>
      </c>
      <c r="J321" s="1" t="s">
        <v>28</v>
      </c>
      <c r="K321" s="4">
        <v>2.0880000000000001</v>
      </c>
      <c r="L321" s="4">
        <v>2581.6143999999999</v>
      </c>
      <c r="M321" s="6">
        <v>18</v>
      </c>
      <c r="N321" s="6">
        <f t="shared" si="16"/>
        <v>970.27395609600001</v>
      </c>
      <c r="O321" s="1">
        <v>4</v>
      </c>
      <c r="P321" s="1">
        <f t="shared" si="18"/>
        <v>215.616434688</v>
      </c>
      <c r="Q321" s="6">
        <f t="shared" si="17"/>
        <v>5390.4108672000002</v>
      </c>
      <c r="X321" s="6">
        <f t="shared" si="19"/>
        <v>6576.3012579839997</v>
      </c>
      <c r="AB321" s="4" t="s">
        <v>234</v>
      </c>
      <c r="AC321" s="4" t="s">
        <v>232</v>
      </c>
    </row>
    <row r="322" spans="1:29" ht="33.75" customHeight="1" x14ac:dyDescent="0.35">
      <c r="A322" s="4" t="s">
        <v>31</v>
      </c>
      <c r="B322" s="4">
        <v>26055564</v>
      </c>
      <c r="C322" s="4" t="s">
        <v>27</v>
      </c>
      <c r="D322" s="4" t="s">
        <v>150</v>
      </c>
      <c r="F322" s="8">
        <v>3710153376725</v>
      </c>
      <c r="G322" s="6" t="s">
        <v>233</v>
      </c>
      <c r="H322" s="4" t="s">
        <v>227</v>
      </c>
      <c r="J322" s="1" t="s">
        <v>28</v>
      </c>
      <c r="K322" s="4">
        <v>2.52</v>
      </c>
      <c r="L322" s="4">
        <v>2624.7303000000002</v>
      </c>
      <c r="M322" s="6">
        <v>18</v>
      </c>
      <c r="N322" s="6">
        <f t="shared" ref="N322:N356" si="20">K322*L322*(M322%)</f>
        <v>1190.57766408</v>
      </c>
      <c r="O322" s="1">
        <v>4</v>
      </c>
      <c r="P322" s="1">
        <f t="shared" si="18"/>
        <v>264.57281424000001</v>
      </c>
      <c r="Q322" s="6">
        <f t="shared" ref="Q322:Q356" si="21">K322*L322</f>
        <v>6614.3203560000002</v>
      </c>
      <c r="X322" s="6">
        <f t="shared" si="19"/>
        <v>8069.47083432</v>
      </c>
      <c r="AB322" s="4" t="s">
        <v>234</v>
      </c>
      <c r="AC322" s="4" t="s">
        <v>232</v>
      </c>
    </row>
    <row r="323" spans="1:29" ht="33.75" customHeight="1" x14ac:dyDescent="0.35">
      <c r="A323" s="4" t="s">
        <v>31</v>
      </c>
      <c r="B323" s="4">
        <v>26055564</v>
      </c>
      <c r="C323" s="4" t="s">
        <v>27</v>
      </c>
      <c r="D323" s="4" t="s">
        <v>150</v>
      </c>
      <c r="F323" s="8">
        <v>3710153376725</v>
      </c>
      <c r="G323" s="6" t="s">
        <v>233</v>
      </c>
      <c r="H323" s="4" t="s">
        <v>194</v>
      </c>
      <c r="J323" s="1" t="s">
        <v>28</v>
      </c>
      <c r="K323" s="4">
        <v>2.52</v>
      </c>
      <c r="L323" s="4">
        <v>2624.7303000000002</v>
      </c>
      <c r="M323" s="6">
        <v>18</v>
      </c>
      <c r="N323" s="6">
        <f t="shared" si="20"/>
        <v>1190.57766408</v>
      </c>
      <c r="O323" s="1">
        <v>4</v>
      </c>
      <c r="P323" s="1">
        <f t="shared" ref="P323:P356" si="22">Q323*4/100</f>
        <v>264.57281424000001</v>
      </c>
      <c r="Q323" s="6">
        <f t="shared" si="21"/>
        <v>6614.3203560000002</v>
      </c>
      <c r="X323" s="6">
        <f t="shared" ref="X323:X356" si="23">Q323+N323+P323</f>
        <v>8069.47083432</v>
      </c>
      <c r="AB323" s="4" t="s">
        <v>234</v>
      </c>
      <c r="AC323" s="4" t="s">
        <v>232</v>
      </c>
    </row>
    <row r="324" spans="1:29" ht="33.75" customHeight="1" x14ac:dyDescent="0.35">
      <c r="A324" s="4" t="s">
        <v>31</v>
      </c>
      <c r="B324" s="4">
        <v>26055565</v>
      </c>
      <c r="C324" s="4" t="s">
        <v>27</v>
      </c>
      <c r="D324" s="4" t="s">
        <v>151</v>
      </c>
      <c r="F324" s="8">
        <v>2110424027011</v>
      </c>
      <c r="G324" s="13">
        <v>2005.2</v>
      </c>
      <c r="H324" s="4" t="s">
        <v>169</v>
      </c>
      <c r="J324" s="1" t="s">
        <v>28</v>
      </c>
      <c r="K324" s="4">
        <v>3.6</v>
      </c>
      <c r="L324" s="4">
        <v>4302.6905999999999</v>
      </c>
      <c r="M324" s="6">
        <v>18</v>
      </c>
      <c r="N324" s="6">
        <f t="shared" si="20"/>
        <v>2788.1435087999998</v>
      </c>
      <c r="O324" s="1">
        <v>4</v>
      </c>
      <c r="P324" s="1">
        <f t="shared" si="22"/>
        <v>619.58744639999998</v>
      </c>
      <c r="Q324" s="6">
        <f t="shared" si="21"/>
        <v>15489.686159999999</v>
      </c>
      <c r="X324" s="6">
        <f t="shared" si="23"/>
        <v>18897.417115199998</v>
      </c>
      <c r="AB324" s="4" t="s">
        <v>234</v>
      </c>
      <c r="AC324" s="4" t="s">
        <v>232</v>
      </c>
    </row>
    <row r="325" spans="1:29" ht="33.75" customHeight="1" x14ac:dyDescent="0.35">
      <c r="A325" s="4" t="s">
        <v>31</v>
      </c>
      <c r="B325" s="4">
        <v>26055565</v>
      </c>
      <c r="C325" s="4" t="s">
        <v>27</v>
      </c>
      <c r="D325" s="4" t="s">
        <v>151</v>
      </c>
      <c r="F325" s="8">
        <v>2110424027011</v>
      </c>
      <c r="G325" s="13">
        <v>2005.2</v>
      </c>
      <c r="H325" s="4" t="s">
        <v>170</v>
      </c>
      <c r="J325" s="1" t="s">
        <v>28</v>
      </c>
      <c r="K325" s="4">
        <v>3.6</v>
      </c>
      <c r="L325" s="4">
        <v>4302.6905999999999</v>
      </c>
      <c r="M325" s="6">
        <v>18</v>
      </c>
      <c r="N325" s="6">
        <f t="shared" si="20"/>
        <v>2788.1435087999998</v>
      </c>
      <c r="O325" s="1">
        <v>4</v>
      </c>
      <c r="P325" s="1">
        <f t="shared" si="22"/>
        <v>619.58744639999998</v>
      </c>
      <c r="Q325" s="6">
        <f t="shared" si="21"/>
        <v>15489.686159999999</v>
      </c>
      <c r="X325" s="6">
        <f t="shared" si="23"/>
        <v>18897.417115199998</v>
      </c>
      <c r="AB325" s="4" t="s">
        <v>234</v>
      </c>
      <c r="AC325" s="4" t="s">
        <v>232</v>
      </c>
    </row>
    <row r="326" spans="1:29" ht="33.75" customHeight="1" x14ac:dyDescent="0.35">
      <c r="A326" s="4" t="s">
        <v>31</v>
      </c>
      <c r="B326" s="4">
        <v>26055566</v>
      </c>
      <c r="C326" s="4" t="s">
        <v>27</v>
      </c>
      <c r="D326" s="4" t="s">
        <v>152</v>
      </c>
      <c r="F326" s="7">
        <v>9999999</v>
      </c>
      <c r="G326" s="13">
        <v>2005.2</v>
      </c>
      <c r="H326" s="4" t="s">
        <v>181</v>
      </c>
      <c r="J326" s="1" t="s">
        <v>28</v>
      </c>
      <c r="K326" s="4">
        <v>0.72</v>
      </c>
      <c r="L326" s="4">
        <v>887.71299999999997</v>
      </c>
      <c r="M326" s="6">
        <v>18</v>
      </c>
      <c r="N326" s="6">
        <f t="shared" si="20"/>
        <v>115.04760479999997</v>
      </c>
      <c r="O326" s="1">
        <v>4</v>
      </c>
      <c r="P326" s="1">
        <f t="shared" si="22"/>
        <v>25.566134399999996</v>
      </c>
      <c r="Q326" s="6">
        <f t="shared" si="21"/>
        <v>639.15335999999991</v>
      </c>
      <c r="X326" s="6">
        <f t="shared" si="23"/>
        <v>779.76709919999985</v>
      </c>
      <c r="AB326" s="4" t="s">
        <v>234</v>
      </c>
      <c r="AC326" s="4" t="s">
        <v>232</v>
      </c>
    </row>
    <row r="327" spans="1:29" ht="33.75" customHeight="1" x14ac:dyDescent="0.35">
      <c r="A327" s="4" t="s">
        <v>31</v>
      </c>
      <c r="B327" s="4">
        <v>26055566</v>
      </c>
      <c r="C327" s="4" t="s">
        <v>27</v>
      </c>
      <c r="D327" s="4" t="s">
        <v>152</v>
      </c>
      <c r="F327" s="7">
        <v>9999999</v>
      </c>
      <c r="G327" s="13">
        <v>2005.2</v>
      </c>
      <c r="H327" s="4" t="s">
        <v>196</v>
      </c>
      <c r="J327" s="1" t="s">
        <v>28</v>
      </c>
      <c r="K327" s="4">
        <v>0.72</v>
      </c>
      <c r="L327" s="4">
        <v>828.49040000000002</v>
      </c>
      <c r="M327" s="6">
        <v>18</v>
      </c>
      <c r="N327" s="6">
        <f t="shared" si="20"/>
        <v>107.37235584</v>
      </c>
      <c r="O327" s="1">
        <v>4</v>
      </c>
      <c r="P327" s="1">
        <f t="shared" si="22"/>
        <v>23.860523520000001</v>
      </c>
      <c r="Q327" s="6">
        <f t="shared" si="21"/>
        <v>596.51308800000004</v>
      </c>
      <c r="X327" s="6">
        <f t="shared" si="23"/>
        <v>727.74596736000001</v>
      </c>
      <c r="AB327" s="4" t="s">
        <v>234</v>
      </c>
      <c r="AC327" s="4" t="s">
        <v>232</v>
      </c>
    </row>
    <row r="328" spans="1:29" ht="33.75" customHeight="1" x14ac:dyDescent="0.35">
      <c r="A328" s="4" t="s">
        <v>31</v>
      </c>
      <c r="B328" s="4">
        <v>26055566</v>
      </c>
      <c r="C328" s="4" t="s">
        <v>27</v>
      </c>
      <c r="D328" s="4" t="s">
        <v>152</v>
      </c>
      <c r="F328" s="7">
        <v>9999999</v>
      </c>
      <c r="G328" s="13">
        <v>2005.2</v>
      </c>
      <c r="H328" s="4" t="s">
        <v>163</v>
      </c>
      <c r="J328" s="1" t="s">
        <v>28</v>
      </c>
      <c r="K328" s="4">
        <v>0.72</v>
      </c>
      <c r="L328" s="4">
        <v>823.23450000000003</v>
      </c>
      <c r="M328" s="6">
        <v>18</v>
      </c>
      <c r="N328" s="6">
        <f t="shared" si="20"/>
        <v>106.69119119999999</v>
      </c>
      <c r="O328" s="1">
        <v>4</v>
      </c>
      <c r="P328" s="1">
        <f t="shared" si="22"/>
        <v>23.7091536</v>
      </c>
      <c r="Q328" s="6">
        <f t="shared" si="21"/>
        <v>592.72883999999999</v>
      </c>
      <c r="X328" s="6">
        <f t="shared" si="23"/>
        <v>723.12918480000008</v>
      </c>
      <c r="AB328" s="4" t="s">
        <v>234</v>
      </c>
      <c r="AC328" s="4" t="s">
        <v>232</v>
      </c>
    </row>
    <row r="329" spans="1:29" ht="33.75" customHeight="1" x14ac:dyDescent="0.35">
      <c r="A329" s="4" t="s">
        <v>31</v>
      </c>
      <c r="B329" s="4">
        <v>26055566</v>
      </c>
      <c r="C329" s="4" t="s">
        <v>27</v>
      </c>
      <c r="D329" s="4" t="s">
        <v>152</v>
      </c>
      <c r="F329" s="7">
        <v>9999999</v>
      </c>
      <c r="G329" s="13">
        <v>2005.2</v>
      </c>
      <c r="H329" s="4" t="s">
        <v>189</v>
      </c>
      <c r="J329" s="1" t="s">
        <v>28</v>
      </c>
      <c r="K329" s="4">
        <v>0.68799999999999994</v>
      </c>
      <c r="L329" s="4">
        <v>828.49040000000002</v>
      </c>
      <c r="M329" s="6">
        <v>18</v>
      </c>
      <c r="N329" s="6">
        <f t="shared" si="20"/>
        <v>102.60025113599998</v>
      </c>
      <c r="O329" s="1">
        <v>4</v>
      </c>
      <c r="P329" s="1">
        <f t="shared" si="22"/>
        <v>22.800055807999996</v>
      </c>
      <c r="Q329" s="6">
        <f t="shared" si="21"/>
        <v>570.00139519999993</v>
      </c>
      <c r="X329" s="6">
        <f t="shared" si="23"/>
        <v>695.40170214399996</v>
      </c>
      <c r="AB329" s="4" t="s">
        <v>234</v>
      </c>
      <c r="AC329" s="4" t="s">
        <v>232</v>
      </c>
    </row>
    <row r="330" spans="1:29" ht="33.75" customHeight="1" x14ac:dyDescent="0.35">
      <c r="A330" s="4" t="s">
        <v>31</v>
      </c>
      <c r="B330" s="4">
        <v>26055567</v>
      </c>
      <c r="C330" s="4" t="s">
        <v>27</v>
      </c>
      <c r="D330" s="4" t="s">
        <v>153</v>
      </c>
      <c r="F330" s="7">
        <v>9999999</v>
      </c>
      <c r="G330" s="13">
        <v>2005.2</v>
      </c>
      <c r="H330" s="4" t="s">
        <v>205</v>
      </c>
      <c r="J330" s="1" t="s">
        <v>28</v>
      </c>
      <c r="K330" s="4">
        <v>0.86399999999999999</v>
      </c>
      <c r="L330" s="4">
        <v>885.72439999999995</v>
      </c>
      <c r="M330" s="6">
        <v>18</v>
      </c>
      <c r="N330" s="6">
        <f t="shared" si="20"/>
        <v>137.74785868799998</v>
      </c>
      <c r="O330" s="1">
        <v>4</v>
      </c>
      <c r="P330" s="1">
        <f t="shared" si="22"/>
        <v>30.610635263999999</v>
      </c>
      <c r="Q330" s="6">
        <f t="shared" si="21"/>
        <v>765.26588159999994</v>
      </c>
      <c r="X330" s="6">
        <f t="shared" si="23"/>
        <v>933.62437555199995</v>
      </c>
      <c r="AB330" s="4" t="s">
        <v>234</v>
      </c>
      <c r="AC330" s="4" t="s">
        <v>232</v>
      </c>
    </row>
    <row r="331" spans="1:29" ht="33.75" customHeight="1" x14ac:dyDescent="0.35">
      <c r="A331" s="4" t="s">
        <v>31</v>
      </c>
      <c r="B331" s="4">
        <v>26055567</v>
      </c>
      <c r="C331" s="4" t="s">
        <v>27</v>
      </c>
      <c r="D331" s="4" t="s">
        <v>153</v>
      </c>
      <c r="F331" s="7">
        <v>9999999</v>
      </c>
      <c r="G331" s="13">
        <v>2005.2</v>
      </c>
      <c r="H331" s="4" t="s">
        <v>214</v>
      </c>
      <c r="J331" s="1" t="s">
        <v>28</v>
      </c>
      <c r="K331" s="4">
        <v>0.86399999999999999</v>
      </c>
      <c r="L331" s="4">
        <v>885.72439999999995</v>
      </c>
      <c r="M331" s="6">
        <v>18</v>
      </c>
      <c r="N331" s="6">
        <f t="shared" si="20"/>
        <v>137.74785868799998</v>
      </c>
      <c r="O331" s="1">
        <v>4</v>
      </c>
      <c r="P331" s="1">
        <f t="shared" si="22"/>
        <v>30.610635263999999</v>
      </c>
      <c r="Q331" s="6">
        <f t="shared" si="21"/>
        <v>765.26588159999994</v>
      </c>
      <c r="X331" s="6">
        <f t="shared" si="23"/>
        <v>933.62437555199995</v>
      </c>
      <c r="AB331" s="4" t="s">
        <v>234</v>
      </c>
      <c r="AC331" s="4" t="s">
        <v>232</v>
      </c>
    </row>
    <row r="332" spans="1:29" ht="33.75" customHeight="1" x14ac:dyDescent="0.35">
      <c r="A332" s="4" t="s">
        <v>31</v>
      </c>
      <c r="B332" s="4">
        <v>26055567</v>
      </c>
      <c r="C332" s="4" t="s">
        <v>27</v>
      </c>
      <c r="D332" s="4" t="s">
        <v>153</v>
      </c>
      <c r="F332" s="7">
        <v>9999999</v>
      </c>
      <c r="G332" s="6" t="s">
        <v>233</v>
      </c>
      <c r="H332" s="4" t="s">
        <v>228</v>
      </c>
      <c r="J332" s="1" t="s">
        <v>28</v>
      </c>
      <c r="K332" s="4">
        <v>0.98399999999999999</v>
      </c>
      <c r="L332" s="4">
        <v>897.51850000000002</v>
      </c>
      <c r="M332" s="6">
        <v>18</v>
      </c>
      <c r="N332" s="6">
        <f t="shared" si="20"/>
        <v>158.96847671999998</v>
      </c>
      <c r="O332" s="1">
        <v>4</v>
      </c>
      <c r="P332" s="1">
        <f t="shared" si="22"/>
        <v>35.326328159999996</v>
      </c>
      <c r="Q332" s="6">
        <f t="shared" si="21"/>
        <v>883.15820399999996</v>
      </c>
      <c r="X332" s="6">
        <f t="shared" si="23"/>
        <v>1077.45300888</v>
      </c>
      <c r="AB332" s="4" t="s">
        <v>234</v>
      </c>
      <c r="AC332" s="4" t="s">
        <v>232</v>
      </c>
    </row>
    <row r="333" spans="1:29" ht="33.75" customHeight="1" x14ac:dyDescent="0.35">
      <c r="A333" s="4" t="s">
        <v>31</v>
      </c>
      <c r="B333" s="4">
        <v>26055567</v>
      </c>
      <c r="C333" s="4" t="s">
        <v>27</v>
      </c>
      <c r="D333" s="4" t="s">
        <v>153</v>
      </c>
      <c r="F333" s="7">
        <v>9999999</v>
      </c>
      <c r="G333" s="6" t="s">
        <v>233</v>
      </c>
      <c r="H333" s="4" t="s">
        <v>187</v>
      </c>
      <c r="J333" s="1" t="s">
        <v>28</v>
      </c>
      <c r="K333" s="4">
        <v>0.64800000000000002</v>
      </c>
      <c r="L333" s="4">
        <v>808.44470000000001</v>
      </c>
      <c r="M333" s="6">
        <v>18</v>
      </c>
      <c r="N333" s="6">
        <f t="shared" si="20"/>
        <v>94.296989808000006</v>
      </c>
      <c r="O333" s="1">
        <v>4</v>
      </c>
      <c r="P333" s="1">
        <f t="shared" si="22"/>
        <v>20.954886624</v>
      </c>
      <c r="Q333" s="6">
        <f t="shared" si="21"/>
        <v>523.87216560000002</v>
      </c>
      <c r="X333" s="6">
        <f t="shared" si="23"/>
        <v>639.12404203200003</v>
      </c>
      <c r="AB333" s="4" t="s">
        <v>234</v>
      </c>
      <c r="AC333" s="4" t="s">
        <v>232</v>
      </c>
    </row>
    <row r="334" spans="1:29" ht="33.75" customHeight="1" x14ac:dyDescent="0.35">
      <c r="A334" s="4" t="s">
        <v>31</v>
      </c>
      <c r="B334" s="4">
        <v>26055567</v>
      </c>
      <c r="C334" s="4" t="s">
        <v>27</v>
      </c>
      <c r="D334" s="4" t="s">
        <v>153</v>
      </c>
      <c r="F334" s="7">
        <v>9999999</v>
      </c>
      <c r="G334" s="13">
        <v>2005.2</v>
      </c>
      <c r="H334" s="4" t="s">
        <v>206</v>
      </c>
      <c r="J334" s="1" t="s">
        <v>28</v>
      </c>
      <c r="K334" s="4">
        <v>0.67200000000000004</v>
      </c>
      <c r="L334" s="4">
        <v>894.18809999999996</v>
      </c>
      <c r="M334" s="6">
        <v>18</v>
      </c>
      <c r="N334" s="6">
        <f t="shared" si="20"/>
        <v>108.16099257600001</v>
      </c>
      <c r="O334" s="1">
        <v>4</v>
      </c>
      <c r="P334" s="1">
        <f t="shared" si="22"/>
        <v>24.035776128000002</v>
      </c>
      <c r="Q334" s="6">
        <f t="shared" si="21"/>
        <v>600.89440320000006</v>
      </c>
      <c r="X334" s="6">
        <f t="shared" si="23"/>
        <v>733.09117190400002</v>
      </c>
      <c r="AB334" s="4" t="s">
        <v>234</v>
      </c>
      <c r="AC334" s="4" t="s">
        <v>232</v>
      </c>
    </row>
    <row r="335" spans="1:29" ht="33.75" customHeight="1" x14ac:dyDescent="0.35">
      <c r="A335" s="4" t="s">
        <v>31</v>
      </c>
      <c r="B335" s="4">
        <v>26055568</v>
      </c>
      <c r="C335" s="4" t="s">
        <v>27</v>
      </c>
      <c r="D335" s="4" t="s">
        <v>154</v>
      </c>
      <c r="F335" s="8">
        <v>3710176424077</v>
      </c>
      <c r="G335" s="13">
        <v>2005.2</v>
      </c>
      <c r="H335" s="4" t="s">
        <v>211</v>
      </c>
      <c r="J335" s="1" t="s">
        <v>28</v>
      </c>
      <c r="K335" s="4">
        <v>1.76</v>
      </c>
      <c r="L335" s="4">
        <v>2326.5120000000002</v>
      </c>
      <c r="M335" s="6">
        <v>18</v>
      </c>
      <c r="N335" s="6">
        <f t="shared" si="20"/>
        <v>737.03900160000001</v>
      </c>
      <c r="O335" s="1">
        <v>4</v>
      </c>
      <c r="P335" s="1">
        <f t="shared" si="22"/>
        <v>163.7864448</v>
      </c>
      <c r="Q335" s="6">
        <f t="shared" si="21"/>
        <v>4094.6611200000002</v>
      </c>
      <c r="X335" s="6">
        <f t="shared" si="23"/>
        <v>4995.4865663999999</v>
      </c>
      <c r="AB335" s="4" t="s">
        <v>234</v>
      </c>
      <c r="AC335" s="4" t="s">
        <v>232</v>
      </c>
    </row>
    <row r="336" spans="1:29" ht="33.75" customHeight="1" x14ac:dyDescent="0.35">
      <c r="A336" s="4" t="s">
        <v>31</v>
      </c>
      <c r="B336" s="4">
        <v>26055568</v>
      </c>
      <c r="C336" s="4" t="s">
        <v>27</v>
      </c>
      <c r="D336" s="4" t="s">
        <v>154</v>
      </c>
      <c r="F336" s="8">
        <v>3710176424077</v>
      </c>
      <c r="G336" s="13">
        <v>2005.2</v>
      </c>
      <c r="H336" s="4" t="s">
        <v>220</v>
      </c>
      <c r="J336" s="1" t="s">
        <v>28</v>
      </c>
      <c r="K336" s="4">
        <v>1.76</v>
      </c>
      <c r="L336" s="4">
        <v>2326.5120000000002</v>
      </c>
      <c r="M336" s="6">
        <v>18</v>
      </c>
      <c r="N336" s="6">
        <f t="shared" si="20"/>
        <v>737.03900160000001</v>
      </c>
      <c r="O336" s="1">
        <v>4</v>
      </c>
      <c r="P336" s="1">
        <f t="shared" si="22"/>
        <v>163.7864448</v>
      </c>
      <c r="Q336" s="6">
        <f t="shared" si="21"/>
        <v>4094.6611200000002</v>
      </c>
      <c r="X336" s="6">
        <f t="shared" si="23"/>
        <v>4995.4865663999999</v>
      </c>
      <c r="AB336" s="4" t="s">
        <v>234</v>
      </c>
      <c r="AC336" s="4" t="s">
        <v>232</v>
      </c>
    </row>
    <row r="337" spans="1:29" ht="33.75" customHeight="1" x14ac:dyDescent="0.35">
      <c r="A337" s="4" t="s">
        <v>31</v>
      </c>
      <c r="B337" s="4">
        <v>26055568</v>
      </c>
      <c r="C337" s="4" t="s">
        <v>27</v>
      </c>
      <c r="D337" s="4" t="s">
        <v>154</v>
      </c>
      <c r="F337" s="8">
        <v>3710176424077</v>
      </c>
      <c r="G337" s="13">
        <v>2005.2</v>
      </c>
      <c r="H337" s="4" t="s">
        <v>190</v>
      </c>
      <c r="J337" s="1" t="s">
        <v>28</v>
      </c>
      <c r="K337" s="4">
        <v>0.88</v>
      </c>
      <c r="L337" s="4">
        <v>1163.2560000000001</v>
      </c>
      <c r="M337" s="6">
        <v>18</v>
      </c>
      <c r="N337" s="6">
        <f t="shared" si="20"/>
        <v>184.2597504</v>
      </c>
      <c r="O337" s="1">
        <v>4</v>
      </c>
      <c r="P337" s="1">
        <f t="shared" si="22"/>
        <v>40.9466112</v>
      </c>
      <c r="Q337" s="6">
        <f t="shared" si="21"/>
        <v>1023.6652800000001</v>
      </c>
      <c r="X337" s="6">
        <f t="shared" si="23"/>
        <v>1248.8716416</v>
      </c>
      <c r="AB337" s="4" t="s">
        <v>234</v>
      </c>
      <c r="AC337" s="4" t="s">
        <v>232</v>
      </c>
    </row>
    <row r="338" spans="1:29" ht="33.75" customHeight="1" x14ac:dyDescent="0.35">
      <c r="A338" s="4" t="s">
        <v>31</v>
      </c>
      <c r="B338" s="4">
        <v>26055568</v>
      </c>
      <c r="C338" s="4" t="s">
        <v>27</v>
      </c>
      <c r="D338" s="4" t="s">
        <v>154</v>
      </c>
      <c r="F338" s="8">
        <v>3710176424077</v>
      </c>
      <c r="G338" s="13">
        <v>2005.2</v>
      </c>
      <c r="H338" s="4" t="s">
        <v>169</v>
      </c>
      <c r="J338" s="1" t="s">
        <v>28</v>
      </c>
      <c r="K338" s="4">
        <v>3.6</v>
      </c>
      <c r="L338" s="4">
        <v>4302.6905999999999</v>
      </c>
      <c r="M338" s="6">
        <v>18</v>
      </c>
      <c r="N338" s="6">
        <f t="shared" si="20"/>
        <v>2788.1435087999998</v>
      </c>
      <c r="O338" s="1">
        <v>4</v>
      </c>
      <c r="P338" s="1">
        <f t="shared" si="22"/>
        <v>619.58744639999998</v>
      </c>
      <c r="Q338" s="6">
        <f t="shared" si="21"/>
        <v>15489.686159999999</v>
      </c>
      <c r="X338" s="6">
        <f t="shared" si="23"/>
        <v>18897.417115199998</v>
      </c>
      <c r="AB338" s="4" t="s">
        <v>234</v>
      </c>
      <c r="AC338" s="4" t="s">
        <v>232</v>
      </c>
    </row>
    <row r="339" spans="1:29" ht="33.75" customHeight="1" x14ac:dyDescent="0.35">
      <c r="A339" s="4" t="s">
        <v>31</v>
      </c>
      <c r="B339" s="4">
        <v>26055569</v>
      </c>
      <c r="C339" s="4" t="s">
        <v>27</v>
      </c>
      <c r="D339" s="4" t="s">
        <v>155</v>
      </c>
      <c r="F339" s="8">
        <v>3710117574695</v>
      </c>
      <c r="G339" s="6" t="s">
        <v>233</v>
      </c>
      <c r="H339" s="4" t="s">
        <v>174</v>
      </c>
      <c r="J339" s="1" t="s">
        <v>28</v>
      </c>
      <c r="K339" s="4">
        <v>1.0880000000000001</v>
      </c>
      <c r="L339" s="4">
        <v>928.85979999999995</v>
      </c>
      <c r="M339" s="6">
        <v>18</v>
      </c>
      <c r="N339" s="6">
        <f t="shared" si="20"/>
        <v>181.907903232</v>
      </c>
      <c r="O339" s="1">
        <v>4</v>
      </c>
      <c r="P339" s="1">
        <f t="shared" si="22"/>
        <v>40.423978495999997</v>
      </c>
      <c r="Q339" s="6">
        <f t="shared" si="21"/>
        <v>1010.5994624</v>
      </c>
      <c r="X339" s="6">
        <f t="shared" si="23"/>
        <v>1232.9313441280001</v>
      </c>
      <c r="AB339" s="4" t="s">
        <v>234</v>
      </c>
      <c r="AC339" s="4" t="s">
        <v>232</v>
      </c>
    </row>
    <row r="340" spans="1:29" ht="33.75" customHeight="1" x14ac:dyDescent="0.35">
      <c r="A340" s="4" t="s">
        <v>31</v>
      </c>
      <c r="B340" s="4">
        <v>26055569</v>
      </c>
      <c r="C340" s="4" t="s">
        <v>27</v>
      </c>
      <c r="D340" s="4" t="s">
        <v>155</v>
      </c>
      <c r="F340" s="8">
        <v>3710117574695</v>
      </c>
      <c r="G340" s="6" t="s">
        <v>233</v>
      </c>
      <c r="H340" s="4" t="s">
        <v>175</v>
      </c>
      <c r="J340" s="1" t="s">
        <v>28</v>
      </c>
      <c r="K340" s="4">
        <v>2.2400000000000002</v>
      </c>
      <c r="L340" s="4">
        <v>1741.2664</v>
      </c>
      <c r="M340" s="6">
        <v>18</v>
      </c>
      <c r="N340" s="6">
        <f t="shared" si="20"/>
        <v>702.07861247999995</v>
      </c>
      <c r="O340" s="1">
        <v>4</v>
      </c>
      <c r="P340" s="1">
        <f t="shared" si="22"/>
        <v>156.01746944000001</v>
      </c>
      <c r="Q340" s="6">
        <f t="shared" si="21"/>
        <v>3900.4367360000001</v>
      </c>
      <c r="X340" s="6">
        <f t="shared" si="23"/>
        <v>4758.5328179200005</v>
      </c>
      <c r="AB340" s="4" t="s">
        <v>234</v>
      </c>
      <c r="AC340" s="4" t="s">
        <v>232</v>
      </c>
    </row>
    <row r="341" spans="1:29" ht="33.75" customHeight="1" x14ac:dyDescent="0.35">
      <c r="A341" s="4" t="s">
        <v>31</v>
      </c>
      <c r="B341" s="4">
        <v>26055569</v>
      </c>
      <c r="C341" s="4" t="s">
        <v>27</v>
      </c>
      <c r="D341" s="4" t="s">
        <v>155</v>
      </c>
      <c r="F341" s="8">
        <v>3710117574695</v>
      </c>
      <c r="G341" s="6" t="s">
        <v>233</v>
      </c>
      <c r="H341" s="4" t="s">
        <v>192</v>
      </c>
      <c r="J341" s="1" t="s">
        <v>28</v>
      </c>
      <c r="K341" s="4">
        <v>3.36</v>
      </c>
      <c r="L341" s="4">
        <v>2611.8996000000002</v>
      </c>
      <c r="M341" s="6">
        <v>18</v>
      </c>
      <c r="N341" s="6">
        <f t="shared" si="20"/>
        <v>1579.6768780800001</v>
      </c>
      <c r="O341" s="1">
        <v>4</v>
      </c>
      <c r="P341" s="1">
        <f t="shared" si="22"/>
        <v>351.03930624000003</v>
      </c>
      <c r="Q341" s="6">
        <f t="shared" si="21"/>
        <v>8775.9826560000001</v>
      </c>
      <c r="X341" s="6">
        <f t="shared" si="23"/>
        <v>10706.698840319999</v>
      </c>
      <c r="AB341" s="4" t="s">
        <v>234</v>
      </c>
      <c r="AC341" s="4" t="s">
        <v>232</v>
      </c>
    </row>
    <row r="342" spans="1:29" ht="33.75" customHeight="1" x14ac:dyDescent="0.35">
      <c r="A342" s="4" t="s">
        <v>31</v>
      </c>
      <c r="B342" s="4">
        <v>26055569</v>
      </c>
      <c r="C342" s="4" t="s">
        <v>27</v>
      </c>
      <c r="D342" s="4" t="s">
        <v>155</v>
      </c>
      <c r="F342" s="8">
        <v>3710117574695</v>
      </c>
      <c r="G342" s="6" t="s">
        <v>233</v>
      </c>
      <c r="H342" s="4" t="s">
        <v>226</v>
      </c>
      <c r="J342" s="1" t="s">
        <v>28</v>
      </c>
      <c r="K342" s="4">
        <v>2.1760000000000002</v>
      </c>
      <c r="L342" s="4">
        <v>1857.7197000000001</v>
      </c>
      <c r="M342" s="6">
        <v>18</v>
      </c>
      <c r="N342" s="6">
        <f t="shared" si="20"/>
        <v>727.63165209600015</v>
      </c>
      <c r="O342" s="1">
        <v>4</v>
      </c>
      <c r="P342" s="1">
        <f t="shared" si="22"/>
        <v>161.69592268800002</v>
      </c>
      <c r="Q342" s="6">
        <f t="shared" si="21"/>
        <v>4042.3980672000007</v>
      </c>
      <c r="X342" s="6">
        <f t="shared" si="23"/>
        <v>4931.7256419840005</v>
      </c>
      <c r="AB342" s="4" t="s">
        <v>234</v>
      </c>
      <c r="AC342" s="4" t="s">
        <v>232</v>
      </c>
    </row>
    <row r="343" spans="1:29" ht="33.75" customHeight="1" x14ac:dyDescent="0.35">
      <c r="A343" s="4" t="s">
        <v>31</v>
      </c>
      <c r="B343" s="4">
        <v>26055569</v>
      </c>
      <c r="C343" s="4" t="s">
        <v>27</v>
      </c>
      <c r="D343" s="4" t="s">
        <v>155</v>
      </c>
      <c r="F343" s="8">
        <v>3710117574695</v>
      </c>
      <c r="G343" s="6" t="s">
        <v>233</v>
      </c>
      <c r="H343" s="4" t="s">
        <v>176</v>
      </c>
      <c r="J343" s="1" t="s">
        <v>28</v>
      </c>
      <c r="K343" s="4">
        <v>2.1760000000000002</v>
      </c>
      <c r="L343" s="4">
        <v>1857.7197000000001</v>
      </c>
      <c r="M343" s="6">
        <v>18</v>
      </c>
      <c r="N343" s="6">
        <f t="shared" si="20"/>
        <v>727.63165209600015</v>
      </c>
      <c r="O343" s="1">
        <v>4</v>
      </c>
      <c r="P343" s="1">
        <f t="shared" si="22"/>
        <v>161.69592268800002</v>
      </c>
      <c r="Q343" s="6">
        <f t="shared" si="21"/>
        <v>4042.3980672000007</v>
      </c>
      <c r="X343" s="6">
        <f t="shared" si="23"/>
        <v>4931.7256419840005</v>
      </c>
      <c r="AB343" s="4" t="s">
        <v>234</v>
      </c>
      <c r="AC343" s="4" t="s">
        <v>232</v>
      </c>
    </row>
    <row r="344" spans="1:29" ht="33.75" customHeight="1" x14ac:dyDescent="0.35">
      <c r="A344" s="4" t="s">
        <v>31</v>
      </c>
      <c r="B344" s="4">
        <v>26055569</v>
      </c>
      <c r="C344" s="4" t="s">
        <v>27</v>
      </c>
      <c r="D344" s="4" t="s">
        <v>155</v>
      </c>
      <c r="F344" s="8">
        <v>3710117574695</v>
      </c>
      <c r="G344" s="6" t="s">
        <v>233</v>
      </c>
      <c r="H344" s="4" t="s">
        <v>227</v>
      </c>
      <c r="J344" s="1" t="s">
        <v>28</v>
      </c>
      <c r="K344" s="4">
        <v>0.84</v>
      </c>
      <c r="L344" s="4">
        <v>874.91010000000006</v>
      </c>
      <c r="M344" s="6">
        <v>18</v>
      </c>
      <c r="N344" s="6">
        <f t="shared" si="20"/>
        <v>132.28640712000001</v>
      </c>
      <c r="O344" s="1">
        <v>4</v>
      </c>
      <c r="P344" s="1">
        <f t="shared" si="22"/>
        <v>29.39697936</v>
      </c>
      <c r="Q344" s="6">
        <f t="shared" si="21"/>
        <v>734.92448400000001</v>
      </c>
      <c r="X344" s="6">
        <f t="shared" si="23"/>
        <v>896.60787048000009</v>
      </c>
      <c r="AB344" s="4" t="s">
        <v>234</v>
      </c>
      <c r="AC344" s="4" t="s">
        <v>232</v>
      </c>
    </row>
    <row r="345" spans="1:29" ht="33.75" customHeight="1" x14ac:dyDescent="0.35">
      <c r="A345" s="4" t="s">
        <v>31</v>
      </c>
      <c r="B345" s="4">
        <v>26055569</v>
      </c>
      <c r="C345" s="4" t="s">
        <v>27</v>
      </c>
      <c r="D345" s="4" t="s">
        <v>155</v>
      </c>
      <c r="F345" s="8">
        <v>3710117574695</v>
      </c>
      <c r="G345" s="6" t="s">
        <v>233</v>
      </c>
      <c r="H345" s="4" t="s">
        <v>194</v>
      </c>
      <c r="J345" s="1" t="s">
        <v>28</v>
      </c>
      <c r="K345" s="4">
        <v>2.52</v>
      </c>
      <c r="L345" s="4">
        <v>2624.7303000000002</v>
      </c>
      <c r="M345" s="6">
        <v>18</v>
      </c>
      <c r="N345" s="6">
        <f t="shared" si="20"/>
        <v>1190.57766408</v>
      </c>
      <c r="O345" s="1">
        <v>4</v>
      </c>
      <c r="P345" s="1">
        <f t="shared" si="22"/>
        <v>264.57281424000001</v>
      </c>
      <c r="Q345" s="6">
        <f t="shared" si="21"/>
        <v>6614.3203560000002</v>
      </c>
      <c r="X345" s="6">
        <f t="shared" si="23"/>
        <v>8069.47083432</v>
      </c>
      <c r="AB345" s="4" t="s">
        <v>234</v>
      </c>
      <c r="AC345" s="4" t="s">
        <v>232</v>
      </c>
    </row>
    <row r="346" spans="1:29" ht="33.75" customHeight="1" x14ac:dyDescent="0.35">
      <c r="A346" s="4" t="s">
        <v>31</v>
      </c>
      <c r="B346" s="4">
        <v>26055569</v>
      </c>
      <c r="C346" s="4" t="s">
        <v>27</v>
      </c>
      <c r="D346" s="4" t="s">
        <v>155</v>
      </c>
      <c r="F346" s="8">
        <v>3710117574695</v>
      </c>
      <c r="G346" s="6" t="s">
        <v>233</v>
      </c>
      <c r="H346" s="4" t="s">
        <v>229</v>
      </c>
      <c r="J346" s="1" t="s">
        <v>28</v>
      </c>
      <c r="K346" s="4">
        <v>0.84</v>
      </c>
      <c r="L346" s="4">
        <v>874.91010000000006</v>
      </c>
      <c r="M346" s="6">
        <v>18</v>
      </c>
      <c r="N346" s="6">
        <f t="shared" si="20"/>
        <v>132.28640712000001</v>
      </c>
      <c r="O346" s="1">
        <v>4</v>
      </c>
      <c r="P346" s="1">
        <f t="shared" si="22"/>
        <v>29.39697936</v>
      </c>
      <c r="Q346" s="6">
        <f t="shared" si="21"/>
        <v>734.92448400000001</v>
      </c>
      <c r="X346" s="6">
        <f t="shared" si="23"/>
        <v>896.60787048000009</v>
      </c>
      <c r="AB346" s="4" t="s">
        <v>234</v>
      </c>
      <c r="AC346" s="4" t="s">
        <v>232</v>
      </c>
    </row>
    <row r="347" spans="1:29" ht="33.75" customHeight="1" x14ac:dyDescent="0.35">
      <c r="A347" s="4" t="s">
        <v>31</v>
      </c>
      <c r="B347" s="4">
        <v>26055570</v>
      </c>
      <c r="C347" s="4" t="s">
        <v>27</v>
      </c>
      <c r="D347" s="4" t="s">
        <v>156</v>
      </c>
      <c r="F347" s="7">
        <v>9999999</v>
      </c>
      <c r="G347" s="13">
        <v>2005.2</v>
      </c>
      <c r="H347" s="4" t="s">
        <v>205</v>
      </c>
      <c r="J347" s="1" t="s">
        <v>28</v>
      </c>
      <c r="K347" s="4">
        <v>0.86399999999999999</v>
      </c>
      <c r="L347" s="4">
        <v>876.68640000000005</v>
      </c>
      <c r="M347" s="6">
        <v>18</v>
      </c>
      <c r="N347" s="6">
        <f t="shared" si="20"/>
        <v>136.34226892800001</v>
      </c>
      <c r="O347" s="1">
        <v>4</v>
      </c>
      <c r="P347" s="1">
        <f t="shared" si="22"/>
        <v>30.298281983999999</v>
      </c>
      <c r="Q347" s="6">
        <f t="shared" si="21"/>
        <v>757.4570496</v>
      </c>
      <c r="X347" s="6">
        <f t="shared" si="23"/>
        <v>924.09760051199999</v>
      </c>
      <c r="AB347" s="4" t="s">
        <v>234</v>
      </c>
      <c r="AC347" s="4" t="s">
        <v>232</v>
      </c>
    </row>
    <row r="348" spans="1:29" ht="33.75" customHeight="1" x14ac:dyDescent="0.35">
      <c r="A348" s="4" t="s">
        <v>31</v>
      </c>
      <c r="B348" s="4">
        <v>26055570</v>
      </c>
      <c r="C348" s="4" t="s">
        <v>27</v>
      </c>
      <c r="D348" s="4" t="s">
        <v>156</v>
      </c>
      <c r="F348" s="7">
        <v>9999999</v>
      </c>
      <c r="G348" s="13">
        <v>2005.2</v>
      </c>
      <c r="H348" s="4" t="s">
        <v>214</v>
      </c>
      <c r="J348" s="1" t="s">
        <v>28</v>
      </c>
      <c r="K348" s="4">
        <v>0.86399999999999999</v>
      </c>
      <c r="L348" s="4">
        <v>876.68640000000005</v>
      </c>
      <c r="M348" s="6">
        <v>18</v>
      </c>
      <c r="N348" s="6">
        <f t="shared" si="20"/>
        <v>136.34226892800001</v>
      </c>
      <c r="O348" s="1">
        <v>4</v>
      </c>
      <c r="P348" s="1">
        <f t="shared" si="22"/>
        <v>30.298281983999999</v>
      </c>
      <c r="Q348" s="6">
        <f t="shared" si="21"/>
        <v>757.4570496</v>
      </c>
      <c r="X348" s="6">
        <f t="shared" si="23"/>
        <v>924.09760051199999</v>
      </c>
      <c r="AB348" s="4" t="s">
        <v>234</v>
      </c>
      <c r="AC348" s="4" t="s">
        <v>232</v>
      </c>
    </row>
    <row r="349" spans="1:29" ht="33.75" customHeight="1" x14ac:dyDescent="0.35">
      <c r="A349" s="4" t="s">
        <v>31</v>
      </c>
      <c r="B349" s="4">
        <v>26055570</v>
      </c>
      <c r="C349" s="4" t="s">
        <v>27</v>
      </c>
      <c r="D349" s="4" t="s">
        <v>156</v>
      </c>
      <c r="F349" s="7">
        <v>9999999</v>
      </c>
      <c r="G349" s="13">
        <v>2005.2</v>
      </c>
      <c r="H349" s="4" t="s">
        <v>230</v>
      </c>
      <c r="J349" s="1" t="s">
        <v>28</v>
      </c>
      <c r="K349" s="4">
        <v>0.88</v>
      </c>
      <c r="L349" s="4">
        <v>1187.7456</v>
      </c>
      <c r="M349" s="6">
        <v>18</v>
      </c>
      <c r="N349" s="6">
        <f t="shared" si="20"/>
        <v>188.13890304</v>
      </c>
      <c r="O349" s="1">
        <v>4</v>
      </c>
      <c r="P349" s="1">
        <f t="shared" si="22"/>
        <v>41.808645120000001</v>
      </c>
      <c r="Q349" s="6">
        <f t="shared" si="21"/>
        <v>1045.216128</v>
      </c>
      <c r="X349" s="6">
        <f t="shared" si="23"/>
        <v>1275.16367616</v>
      </c>
      <c r="AB349" s="4" t="s">
        <v>234</v>
      </c>
      <c r="AC349" s="4" t="s">
        <v>232</v>
      </c>
    </row>
    <row r="350" spans="1:29" ht="33.75" customHeight="1" x14ac:dyDescent="0.35">
      <c r="A350" s="4" t="s">
        <v>31</v>
      </c>
      <c r="B350" s="4">
        <v>26055570</v>
      </c>
      <c r="C350" s="4" t="s">
        <v>27</v>
      </c>
      <c r="D350" s="4" t="s">
        <v>156</v>
      </c>
      <c r="F350" s="7">
        <v>9999999</v>
      </c>
      <c r="G350" s="13">
        <v>2005.2</v>
      </c>
      <c r="H350" s="4" t="s">
        <v>231</v>
      </c>
      <c r="J350" s="1" t="s">
        <v>28</v>
      </c>
      <c r="K350" s="4">
        <v>0.86399999999999999</v>
      </c>
      <c r="L350" s="4">
        <v>1051.3480999999999</v>
      </c>
      <c r="M350" s="6">
        <v>18</v>
      </c>
      <c r="N350" s="6">
        <f t="shared" si="20"/>
        <v>163.50565651199997</v>
      </c>
      <c r="O350" s="1">
        <v>4</v>
      </c>
      <c r="P350" s="1">
        <f t="shared" si="22"/>
        <v>36.334590335999998</v>
      </c>
      <c r="Q350" s="6">
        <f t="shared" si="21"/>
        <v>908.36475839999991</v>
      </c>
      <c r="X350" s="6">
        <f t="shared" si="23"/>
        <v>1108.2050052479999</v>
      </c>
      <c r="AB350" s="4" t="s">
        <v>234</v>
      </c>
      <c r="AC350" s="4" t="s">
        <v>232</v>
      </c>
    </row>
    <row r="351" spans="1:29" ht="33.75" customHeight="1" x14ac:dyDescent="0.35">
      <c r="A351" s="4" t="s">
        <v>31</v>
      </c>
      <c r="B351" s="4">
        <v>26055570</v>
      </c>
      <c r="C351" s="4" t="s">
        <v>27</v>
      </c>
      <c r="D351" s="4" t="s">
        <v>156</v>
      </c>
      <c r="F351" s="7">
        <v>9999999</v>
      </c>
      <c r="G351" s="13">
        <v>2005.2</v>
      </c>
      <c r="H351" s="4" t="s">
        <v>180</v>
      </c>
      <c r="J351" s="1" t="s">
        <v>28</v>
      </c>
      <c r="K351" s="4">
        <v>0.86399999999999999</v>
      </c>
      <c r="L351" s="4">
        <v>1051.3480999999999</v>
      </c>
      <c r="M351" s="6">
        <v>18</v>
      </c>
      <c r="N351" s="6">
        <f t="shared" si="20"/>
        <v>163.50565651199997</v>
      </c>
      <c r="O351" s="1">
        <v>4</v>
      </c>
      <c r="P351" s="1">
        <f t="shared" si="22"/>
        <v>36.334590335999998</v>
      </c>
      <c r="Q351" s="6">
        <f t="shared" si="21"/>
        <v>908.36475839999991</v>
      </c>
      <c r="X351" s="6">
        <f t="shared" si="23"/>
        <v>1108.2050052479999</v>
      </c>
      <c r="AB351" s="4" t="s">
        <v>234</v>
      </c>
      <c r="AC351" s="4" t="s">
        <v>232</v>
      </c>
    </row>
    <row r="352" spans="1:29" ht="33.75" customHeight="1" x14ac:dyDescent="0.35">
      <c r="A352" s="4" t="s">
        <v>31</v>
      </c>
      <c r="B352" s="4">
        <v>26055570</v>
      </c>
      <c r="C352" s="4" t="s">
        <v>27</v>
      </c>
      <c r="D352" s="4" t="s">
        <v>156</v>
      </c>
      <c r="F352" s="7">
        <v>9999999</v>
      </c>
      <c r="G352" s="13">
        <v>2005.2</v>
      </c>
      <c r="H352" s="4" t="s">
        <v>163</v>
      </c>
      <c r="J352" s="1" t="s">
        <v>28</v>
      </c>
      <c r="K352" s="4">
        <v>0.72</v>
      </c>
      <c r="L352" s="4">
        <v>814.83410000000003</v>
      </c>
      <c r="M352" s="6">
        <v>18</v>
      </c>
      <c r="N352" s="6">
        <f t="shared" si="20"/>
        <v>105.60249936</v>
      </c>
      <c r="O352" s="1">
        <v>4</v>
      </c>
      <c r="P352" s="1">
        <f t="shared" si="22"/>
        <v>23.467222080000003</v>
      </c>
      <c r="Q352" s="6">
        <f t="shared" si="21"/>
        <v>586.68055200000003</v>
      </c>
      <c r="X352" s="6">
        <f t="shared" si="23"/>
        <v>715.75027344000011</v>
      </c>
      <c r="AB352" s="4" t="s">
        <v>234</v>
      </c>
      <c r="AC352" s="4" t="s">
        <v>232</v>
      </c>
    </row>
    <row r="353" spans="1:29" ht="33.75" customHeight="1" x14ac:dyDescent="0.35">
      <c r="A353" s="4" t="s">
        <v>31</v>
      </c>
      <c r="B353" s="4">
        <v>26055570</v>
      </c>
      <c r="C353" s="4" t="s">
        <v>27</v>
      </c>
      <c r="D353" s="4" t="s">
        <v>156</v>
      </c>
      <c r="F353" s="7">
        <v>9999999</v>
      </c>
      <c r="G353" s="13">
        <v>2005.2</v>
      </c>
      <c r="H353" s="4" t="s">
        <v>189</v>
      </c>
      <c r="J353" s="1" t="s">
        <v>28</v>
      </c>
      <c r="K353" s="4">
        <v>0.68799999999999994</v>
      </c>
      <c r="L353" s="4">
        <v>820.03639999999996</v>
      </c>
      <c r="M353" s="6">
        <v>18</v>
      </c>
      <c r="N353" s="6">
        <f t="shared" si="20"/>
        <v>101.55330777599997</v>
      </c>
      <c r="O353" s="1">
        <v>4</v>
      </c>
      <c r="P353" s="1">
        <f t="shared" si="22"/>
        <v>22.567401727999997</v>
      </c>
      <c r="Q353" s="6">
        <f t="shared" si="21"/>
        <v>564.18504319999988</v>
      </c>
      <c r="X353" s="6">
        <f t="shared" si="23"/>
        <v>688.30575270399993</v>
      </c>
      <c r="AB353" s="4" t="s">
        <v>234</v>
      </c>
      <c r="AC353" s="4" t="s">
        <v>232</v>
      </c>
    </row>
    <row r="354" spans="1:29" ht="33.75" customHeight="1" x14ac:dyDescent="0.35">
      <c r="A354" s="4" t="s">
        <v>31</v>
      </c>
      <c r="B354" s="4">
        <v>26055571</v>
      </c>
      <c r="C354" s="4" t="s">
        <v>27</v>
      </c>
      <c r="D354" s="4" t="s">
        <v>157</v>
      </c>
      <c r="F354" s="8">
        <v>1730113671169</v>
      </c>
      <c r="G354" s="6" t="s">
        <v>233</v>
      </c>
      <c r="H354" s="4" t="s">
        <v>193</v>
      </c>
      <c r="J354" s="1" t="s">
        <v>28</v>
      </c>
      <c r="K354" s="4">
        <v>4.32</v>
      </c>
      <c r="L354" s="4">
        <v>4346.1701999999996</v>
      </c>
      <c r="M354" s="6">
        <v>18</v>
      </c>
      <c r="N354" s="6">
        <f t="shared" si="20"/>
        <v>3379.5819475200001</v>
      </c>
      <c r="O354" s="1">
        <v>4</v>
      </c>
      <c r="P354" s="1">
        <f t="shared" si="22"/>
        <v>751.01821056000006</v>
      </c>
      <c r="Q354" s="6">
        <f t="shared" si="21"/>
        <v>18775.455264</v>
      </c>
      <c r="X354" s="6">
        <f t="shared" si="23"/>
        <v>22906.05542208</v>
      </c>
      <c r="AB354" s="4" t="s">
        <v>234</v>
      </c>
      <c r="AC354" s="4" t="s">
        <v>232</v>
      </c>
    </row>
    <row r="355" spans="1:29" ht="33.75" customHeight="1" x14ac:dyDescent="0.35">
      <c r="A355" s="4" t="s">
        <v>31</v>
      </c>
      <c r="B355" s="4">
        <v>26055572</v>
      </c>
      <c r="C355" s="4" t="s">
        <v>27</v>
      </c>
      <c r="D355" s="4" t="s">
        <v>158</v>
      </c>
      <c r="F355" s="8">
        <v>3710183535507</v>
      </c>
      <c r="G355" s="13">
        <v>2005.2</v>
      </c>
      <c r="H355" s="4" t="s">
        <v>169</v>
      </c>
      <c r="J355" s="1" t="s">
        <v>28</v>
      </c>
      <c r="K355" s="4">
        <v>5.76</v>
      </c>
      <c r="L355" s="4">
        <v>6884.3050000000003</v>
      </c>
      <c r="M355" s="6">
        <v>18</v>
      </c>
      <c r="N355" s="6">
        <f t="shared" si="20"/>
        <v>7137.6474239999998</v>
      </c>
      <c r="O355" s="1">
        <v>4</v>
      </c>
      <c r="P355" s="1">
        <f t="shared" si="22"/>
        <v>1586.1438719999999</v>
      </c>
      <c r="Q355" s="6">
        <f t="shared" si="21"/>
        <v>39653.596799999999</v>
      </c>
      <c r="X355" s="6">
        <f t="shared" si="23"/>
        <v>48377.388096000002</v>
      </c>
      <c r="AB355" s="4" t="s">
        <v>234</v>
      </c>
      <c r="AC355" s="4" t="s">
        <v>232</v>
      </c>
    </row>
    <row r="356" spans="1:29" ht="33.75" customHeight="1" x14ac:dyDescent="0.35">
      <c r="A356" s="4" t="s">
        <v>31</v>
      </c>
      <c r="B356" s="4">
        <v>26055573</v>
      </c>
      <c r="C356" s="4" t="s">
        <v>27</v>
      </c>
      <c r="D356" s="4" t="s">
        <v>159</v>
      </c>
      <c r="F356" s="8">
        <v>3710124760549</v>
      </c>
      <c r="G356" s="13">
        <v>2005.2</v>
      </c>
      <c r="H356" s="4" t="s">
        <v>169</v>
      </c>
      <c r="J356" s="1" t="s">
        <v>28</v>
      </c>
      <c r="K356" s="4">
        <v>2.16</v>
      </c>
      <c r="L356" s="4">
        <v>2608.7892000000002</v>
      </c>
      <c r="M356" s="6">
        <v>18</v>
      </c>
      <c r="N356" s="6">
        <f t="shared" si="20"/>
        <v>1014.2972409600001</v>
      </c>
      <c r="O356" s="1">
        <v>4</v>
      </c>
      <c r="P356" s="1">
        <f t="shared" si="22"/>
        <v>225.39938688000001</v>
      </c>
      <c r="Q356" s="6">
        <f t="shared" si="21"/>
        <v>5634.9846720000005</v>
      </c>
      <c r="X356" s="6">
        <f t="shared" si="23"/>
        <v>6874.6812998400001</v>
      </c>
      <c r="AB356" s="4" t="s">
        <v>234</v>
      </c>
      <c r="AC356" s="4" t="s">
        <v>232</v>
      </c>
    </row>
  </sheetData>
  <autoFilter ref="A1:AC356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2026-07-02T09:32:45Z</dcterms:modified>
</cp:coreProperties>
</file>