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349EFA6F-DB76-4EB9-A401-192AEF71B2C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2" i="1" l="1"/>
  <c r="X2" i="1" s="1"/>
  <c r="N3" i="1"/>
  <c r="X3" i="1" s="1"/>
  <c r="N4" i="1"/>
  <c r="X4" i="1" s="1"/>
</calcChain>
</file>

<file path=xl/sharedStrings.xml><?xml version="1.0" encoding="utf-8"?>
<sst xmlns="http://schemas.openxmlformats.org/spreadsheetml/2006/main" count="45" uniqueCount="36">
  <si>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</si>
  <si>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</si>
  <si>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</si>
  <si>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</si>
  <si>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</si>
  <si>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</si>
  <si>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</si>
  <si>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</si>
  <si>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</si>
  <si>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</si>
  <si>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</si>
  <si>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</si>
  <si>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</si>
  <si>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</si>
  <si>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</si>
  <si>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</si>
  <si>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</si>
  <si>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</si>
  <si>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</si>
  <si>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</si>
  <si>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</si>
  <si>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</si>
  <si>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</si>
  <si>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</si>
  <si>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</si>
  <si>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</si>
  <si>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</si>
  <si>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15/01/2026</t>
  </si>
  <si>
    <t>SN008</t>
  </si>
  <si>
    <t>PERFUMES</t>
  </si>
  <si>
    <t>Liter</t>
  </si>
  <si>
    <t>297(I)/2023-Table-I</t>
  </si>
  <si>
    <t>SHAFQAT TRADERS (ACTIVE)</t>
  </si>
  <si>
    <t>11SHAFQAT TRADERS (ACTIVE)</t>
  </si>
  <si>
    <t>1SHAFQAT TRADERS (ACTIVE)</t>
  </si>
  <si>
    <t>13/01/2026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</si>
</sst>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3" width="12.5703125" customWidth="1"/>
    <col min="4" max="4" width="48.28515625" bestFit="1" customWidth="1"/>
    <col min="5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11" max="11" width="12.7109375" bestFit="1" customWidth="1"/>
    <col min="12" max="12" width="12.85546875" bestFit="1" customWidth="1"/>
    <col min="13" max="14" width="12.7109375" bestFit="1" customWidth="1"/>
    <col min="17" max="17" width="12.85546875" bestFit="1" customWidth="1"/>
    <col min="21" max="21" width="14.5703125" customWidth="1"/>
    <col min="24" max="24" width="12.85546875" bestFit="1" customWidth="1"/>
    <col min="25" max="25" width="16.28515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t="s">
        <v>35</v>
      </c>
      <c r="B2">
        <v>227</v>
      </c>
      <c r="C2" t="s">
        <v>28</v>
      </c>
      <c r="D2" t="s">
        <v>32</v>
      </c>
      <c r="E2">
        <v>3520222488805</v>
      </c>
      <c r="G2" s="3">
        <v>3303.002</v>
      </c>
      <c r="H2" t="s">
        <v>29</v>
      </c>
      <c r="J2" t="s">
        <v>30</v>
      </c>
      <c r="K2">
        <v>1.44</v>
      </c>
      <c r="L2" s="4">
        <v>38000</v>
      </c>
      <c r="M2" s="4">
        <v>25</v>
      </c>
      <c r="N2" s="5">
        <f t="shared" ref="N2:N4" si="0">+L2*M2/100</f>
        <v>9500</v>
      </c>
      <c r="Q2" s="4">
        <v>38000</v>
      </c>
      <c r="X2" s="5">
        <f t="shared" ref="X2:X4" si="1">+N2+Q2</f>
        <v>47500</v>
      </c>
      <c r="Y2" t="s">
        <v>31</v>
      </c>
      <c r="Z2">
        <v>10</v>
      </c>
    </row>
    <row r="3" spans="1:27" ht="15.75" customHeight="1" x14ac:dyDescent="0.2">
      <c r="A3" t="s">
        <v>27</v>
      </c>
      <c r="B3">
        <v>228</v>
      </c>
      <c r="C3" t="s">
        <v>28</v>
      </c>
      <c r="D3" t="s">
        <v>34</v>
      </c>
      <c r="E3">
        <v>3520222488805</v>
      </c>
      <c r="G3" s="3">
        <v>3303.002</v>
      </c>
      <c r="H3" t="s">
        <v>29</v>
      </c>
      <c r="J3" t="s">
        <v>30</v>
      </c>
      <c r="K3">
        <v>3.6</v>
      </c>
      <c r="L3" s="4">
        <v>98000</v>
      </c>
      <c r="M3" s="4">
        <v>25</v>
      </c>
      <c r="N3" s="5">
        <f t="shared" si="0"/>
        <v>24500</v>
      </c>
      <c r="Q3" s="4">
        <v>98000</v>
      </c>
      <c r="X3" s="5">
        <f t="shared" si="1"/>
        <v>122500</v>
      </c>
      <c r="Y3" t="s">
        <v>31</v>
      </c>
      <c r="Z3">
        <v>10</v>
      </c>
    </row>
    <row r="4" spans="1:27" ht="15.75" customHeight="1" x14ac:dyDescent="0.2">
      <c r="A4" t="s">
        <v>27</v>
      </c>
      <c r="B4">
        <v>229</v>
      </c>
      <c r="C4" t="s">
        <v>28</v>
      </c>
      <c r="D4" t="s">
        <v>33</v>
      </c>
      <c r="E4">
        <v>3520222488805</v>
      </c>
      <c r="G4" s="3">
        <v>3303.002</v>
      </c>
      <c r="H4" t="s">
        <v>29</v>
      </c>
      <c r="J4" t="s">
        <v>30</v>
      </c>
      <c r="K4">
        <v>2.4</v>
      </c>
      <c r="L4" s="4">
        <v>54700</v>
      </c>
      <c r="M4" s="4">
        <v>25</v>
      </c>
      <c r="N4" s="5">
        <f t="shared" si="0"/>
        <v>13675</v>
      </c>
      <c r="Q4" s="4">
        <v>54700</v>
      </c>
      <c r="X4" s="5">
        <f t="shared" si="1"/>
        <v>68375</v>
      </c>
      <c r="Y4" t="s">
        <v>31</v>
      </c>
      <c r="Z4">
        <v>10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2026-03-18T01:34:31Z</dcterms:modified>
</cp:coreProperties>
</file>