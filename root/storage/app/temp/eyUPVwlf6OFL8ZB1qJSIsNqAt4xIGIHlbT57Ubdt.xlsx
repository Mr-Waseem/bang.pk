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HAFEEZ TRADER\Desktop\"/>
    </mc:Choice>
  </mc:AlternateContent>
  <xr:revisionPtr revIDLastSave="0" documentId="13_ncr:1_{C80791F4-A950-4704-AEB8-F18CE8EADC6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Sheet1!$A$1:$AC$51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" l="1"/>
  <c r="Q2" i="1"/>
  <c r="Q3" i="1"/>
  <c r="S3" i="1" s="1"/>
  <c r="Q4" i="1"/>
  <c r="S4" i="1" s="1"/>
  <c r="Q5" i="1"/>
  <c r="Q6" i="1"/>
  <c r="Q7" i="1"/>
  <c r="S7" i="1" s="1"/>
  <c r="Q8" i="1"/>
  <c r="S8" i="1" s="1"/>
  <c r="Q9" i="1"/>
  <c r="Q10" i="1"/>
  <c r="Q11" i="1"/>
  <c r="S11" i="1" s="1"/>
  <c r="Q12" i="1"/>
  <c r="Q13" i="1"/>
  <c r="S13" i="1" s="1"/>
  <c r="Q14" i="1"/>
  <c r="Q15" i="1"/>
  <c r="Q16" i="1"/>
  <c r="S16" i="1" s="1"/>
  <c r="Q17" i="1"/>
  <c r="S17" i="1" s="1"/>
  <c r="Q18" i="1"/>
  <c r="Q19" i="1"/>
  <c r="Q20" i="1"/>
  <c r="S20" i="1" s="1"/>
  <c r="Q21" i="1"/>
  <c r="S21" i="1" s="1"/>
  <c r="Q22" i="1"/>
  <c r="Q23" i="1"/>
  <c r="Q24" i="1"/>
  <c r="S24" i="1" s="1"/>
  <c r="Q25" i="1"/>
  <c r="S25" i="1" s="1"/>
  <c r="Q26" i="1"/>
  <c r="Q27" i="1"/>
  <c r="S27" i="1" s="1"/>
  <c r="Q28" i="1"/>
  <c r="S28" i="1" s="1"/>
  <c r="Q29" i="1"/>
  <c r="Q30" i="1"/>
  <c r="Q31" i="1"/>
  <c r="S31" i="1" s="1"/>
  <c r="Q32" i="1"/>
  <c r="S32" i="1" s="1"/>
  <c r="Q33" i="1"/>
  <c r="Q34" i="1"/>
  <c r="Q35" i="1"/>
  <c r="S35" i="1" s="1"/>
  <c r="Q36" i="1"/>
  <c r="S36" i="1" s="1"/>
  <c r="Q37" i="1"/>
  <c r="S37" i="1" s="1"/>
  <c r="Q38" i="1"/>
  <c r="Q39" i="1"/>
  <c r="S39" i="1" s="1"/>
  <c r="Q40" i="1"/>
  <c r="S40" i="1" s="1"/>
  <c r="Q41" i="1"/>
  <c r="Q42" i="1"/>
  <c r="Q43" i="1"/>
  <c r="S43" i="1" s="1"/>
  <c r="Q44" i="1"/>
  <c r="S44" i="1" s="1"/>
  <c r="Q45" i="1"/>
  <c r="S45" i="1" s="1"/>
  <c r="Q46" i="1"/>
  <c r="Q47" i="1"/>
  <c r="S47" i="1" s="1"/>
  <c r="Q48" i="1"/>
  <c r="S48" i="1" s="1"/>
  <c r="Q49" i="1"/>
  <c r="Q50" i="1"/>
  <c r="Q5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S2" i="1"/>
  <c r="S6" i="1"/>
  <c r="S10" i="1"/>
  <c r="S14" i="1"/>
  <c r="S18" i="1"/>
  <c r="S22" i="1"/>
  <c r="S26" i="1"/>
  <c r="S30" i="1"/>
  <c r="S34" i="1"/>
  <c r="S38" i="1"/>
  <c r="S42" i="1"/>
  <c r="S46" i="1"/>
  <c r="S50" i="1"/>
  <c r="S51" i="1"/>
  <c r="W4" i="1" l="1"/>
  <c r="X4" i="1" s="1"/>
  <c r="W6" i="1"/>
  <c r="X6" i="1" s="1"/>
  <c r="W2" i="1"/>
  <c r="X2" i="1" s="1"/>
  <c r="W44" i="1"/>
  <c r="X44" i="1" s="1"/>
  <c r="W36" i="1"/>
  <c r="X36" i="1" s="1"/>
  <c r="W32" i="1"/>
  <c r="X32" i="1" s="1"/>
  <c r="W28" i="1"/>
  <c r="X28" i="1" s="1"/>
  <c r="W20" i="1"/>
  <c r="X20" i="1" s="1"/>
  <c r="W50" i="1"/>
  <c r="X50" i="1" s="1"/>
  <c r="W46" i="1"/>
  <c r="X46" i="1" s="1"/>
  <c r="W42" i="1"/>
  <c r="X42" i="1" s="1"/>
  <c r="W38" i="1"/>
  <c r="X38" i="1" s="1"/>
  <c r="W34" i="1"/>
  <c r="X34" i="1" s="1"/>
  <c r="W30" i="1"/>
  <c r="X30" i="1" s="1"/>
  <c r="W26" i="1"/>
  <c r="X26" i="1" s="1"/>
  <c r="W22" i="1"/>
  <c r="X22" i="1" s="1"/>
  <c r="W14" i="1"/>
  <c r="X14" i="1" s="1"/>
  <c r="W47" i="1"/>
  <c r="X47" i="1" s="1"/>
  <c r="W31" i="1"/>
  <c r="X31" i="1" s="1"/>
  <c r="W8" i="1"/>
  <c r="X8" i="1" s="1"/>
  <c r="W3" i="1"/>
  <c r="X3" i="1" s="1"/>
  <c r="W13" i="1"/>
  <c r="X13" i="1" s="1"/>
  <c r="W40" i="1"/>
  <c r="X40" i="1" s="1"/>
  <c r="W24" i="1"/>
  <c r="X24" i="1" s="1"/>
  <c r="W48" i="1"/>
  <c r="X48" i="1" s="1"/>
  <c r="W21" i="1"/>
  <c r="X21" i="1" s="1"/>
  <c r="W16" i="1"/>
  <c r="X16" i="1" s="1"/>
  <c r="W11" i="1"/>
  <c r="X11" i="1" s="1"/>
  <c r="W18" i="1"/>
  <c r="X18" i="1" s="1"/>
  <c r="W17" i="1"/>
  <c r="X17" i="1" s="1"/>
  <c r="W7" i="1"/>
  <c r="X7" i="1" s="1"/>
  <c r="W51" i="1"/>
  <c r="X51" i="1" s="1"/>
  <c r="W43" i="1"/>
  <c r="X43" i="1" s="1"/>
  <c r="W39" i="1"/>
  <c r="X39" i="1" s="1"/>
  <c r="W35" i="1"/>
  <c r="X35" i="1" s="1"/>
  <c r="W27" i="1"/>
  <c r="X27" i="1" s="1"/>
  <c r="W10" i="1"/>
  <c r="X10" i="1" s="1"/>
  <c r="S23" i="1"/>
  <c r="S19" i="1"/>
  <c r="S15" i="1"/>
  <c r="S12" i="1"/>
  <c r="S9" i="1"/>
  <c r="S5" i="1"/>
  <c r="W49" i="1"/>
  <c r="X49" i="1" s="1"/>
  <c r="W45" i="1"/>
  <c r="X45" i="1" s="1"/>
  <c r="W41" i="1"/>
  <c r="X41" i="1" s="1"/>
  <c r="W37" i="1"/>
  <c r="X37" i="1" s="1"/>
  <c r="W33" i="1"/>
  <c r="X33" i="1" s="1"/>
  <c r="W29" i="1"/>
  <c r="X29" i="1" s="1"/>
  <c r="W25" i="1"/>
  <c r="X25" i="1" s="1"/>
  <c r="S49" i="1"/>
  <c r="S41" i="1"/>
  <c r="S33" i="1"/>
  <c r="S29" i="1"/>
  <c r="W23" i="1"/>
  <c r="X23" i="1" s="1"/>
  <c r="W19" i="1"/>
  <c r="X19" i="1" s="1"/>
  <c r="W15" i="1"/>
  <c r="X15" i="1" s="1"/>
  <c r="W12" i="1"/>
  <c r="X12" i="1" s="1"/>
  <c r="W9" i="1"/>
  <c r="X9" i="1" s="1"/>
  <c r="W5" i="1"/>
  <c r="X5" i="1" s="1"/>
</calcChain>
</file>

<file path=xl/sharedStrings.xml><?xml version="1.0" encoding="utf-8"?>
<sst xmlns="http://schemas.openxmlformats.org/spreadsheetml/2006/main" count="429" uniqueCount="74">
  <si>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</si>
  <si>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</si>
  <si>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</si>
  <si>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</si>
  <si>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</si>
  <si>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</si>
  <si>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</si>
  <si>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</si>
  <si>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</si>
  <si>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</si>
  <si>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</si>
  <si>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</si>
  <si>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</si>
  <si>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</si>
  <si>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</si>
  <si>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</si>
  <si>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</si>
  <si>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</si>
  <si>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</si>
  <si>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</si>
  <si>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</si>
  <si>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</si>
  <si>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</si>
  <si>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</si>
  <si>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</si>
  <si>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</si>
  <si>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</si>
  <si>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SN002</t>
  </si>
  <si>
    <t>KG</t>
  </si>
  <si>
    <t>Customer Address</t>
  </si>
  <si>
    <t>Customer Type</t>
  </si>
  <si>
    <t>07/07/2026</t>
  </si>
  <si>
    <t>Shan G General Store</t>
  </si>
  <si>
    <t>Tariq General Store</t>
  </si>
  <si>
    <t>Ahmad Hussain General Store</t>
  </si>
  <si>
    <t>Nadeem Khattak</t>
  </si>
  <si>
    <t>LAYS F CHEESE 30G 30X24</t>
  </si>
  <si>
    <t>LAYS MASALA 30G 30X24</t>
  </si>
  <si>
    <t>LAYS MASALA 45G 45X16</t>
  </si>
  <si>
    <t>KURKURE RED CHILI 56G 56X20</t>
  </si>
  <si>
    <t>KURKURE CHUTNEY CHASKA 56G 56X20</t>
  </si>
  <si>
    <t>KURKURE RED CHILI 34G 34X32</t>
  </si>
  <si>
    <t>KURKURE CHUTNEY CHASKA 34G 34X32</t>
  </si>
  <si>
    <t>LAYS Y&amp;H 29G 29X24</t>
  </si>
  <si>
    <t>LAYS Y&amp;H 43G 43X16</t>
  </si>
  <si>
    <t>LAYS Y&amp;H 70G 70X12</t>
  </si>
  <si>
    <t>LAYS Y&amp;H 116G 116X12</t>
  </si>
  <si>
    <t>CHEETOS BITES CHKN VEG 11G 11X64</t>
  </si>
  <si>
    <t>LAYS PAPRIKA 11G 11X80</t>
  </si>
  <si>
    <t>KURKURE CHUTNEY CHASKA 14G 14X60</t>
  </si>
  <si>
    <t>LAYS F CHEESE 18G 18X48</t>
  </si>
  <si>
    <t>LAYS F CHEESE 72G 72X12</t>
  </si>
  <si>
    <t>LAYS MASALA 72G 72X12</t>
  </si>
  <si>
    <t>LAYS PAPRIKA 72G 72X12</t>
  </si>
  <si>
    <t>LAYS SALT 30G 30X24</t>
  </si>
  <si>
    <t>LAYS WAVY BBQ 30G 30X24</t>
  </si>
  <si>
    <t>LAYS WAVY BBQ 70G 70X12</t>
  </si>
  <si>
    <t>KURKURE TOOFAANI MIRCH 34G 34X32</t>
  </si>
  <si>
    <t>KURKURE TOOFAANI MIRCH 56G 56X20</t>
  </si>
  <si>
    <t>CHEETOS CRUN RFH 82G 82X12</t>
  </si>
  <si>
    <t>CHEETOS BITES CHKN VEG 31G 31X16</t>
  </si>
  <si>
    <t>LAYS MASALA 18G 18X48</t>
  </si>
  <si>
    <t>LAYS MAXX SPICY KIMCHI 36G 36X16</t>
  </si>
  <si>
    <t>LAYS MAXX SIGNATURE CHEESE 36G 36X16</t>
  </si>
  <si>
    <t>LAYS WAVY BBQ 16G 16X48</t>
  </si>
  <si>
    <t>CHEETOS OCEAN SAFARI 11G 11X64</t>
  </si>
  <si>
    <t>LAYS WAVY Y&amp;H 45G 45X16</t>
  </si>
  <si>
    <t>CHEETOS BITES CHKN VEG 18G 18X36</t>
  </si>
  <si>
    <t>LAYS SALT 18G 18X48</t>
  </si>
  <si>
    <t>LAYS WAVY Y&amp;H 30G 30X24</t>
  </si>
  <si>
    <t xml:space="preserve">KHYBER PAKHTUNKHWA </t>
  </si>
  <si>
    <t>Unregistered</t>
  </si>
  <si>
    <t>1905.9000</t>
  </si>
  <si>
    <t>2005.2000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</si>
</sst>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Fill="1" applyAlignment="1">
      <alignment horizontal="right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C51"/>
  <sheetViews>
    <sheetView tabSelected="1" zoomScale="85" zoomScaleNormal="85" workbookViewId="0">
      <selection activeCell="D1" sqref="D1:Q9"/>
    </sheetView>
  </sheetViews>
  <sheetFormatPr defaultColWidth="12.54296875" defaultRowHeight="15" customHeight="1" x14ac:dyDescent="0.25"/>
  <cols>
    <col min="1" max="3" width="12.54296875" customWidth="1"/>
    <col min="4" max="4" width="26.08984375" bestFit="1" customWidth="1"/>
    <col min="5" max="5" width="12.54296875" hidden="1" customWidth="1"/>
    <col min="6" max="6" width="24.26953125" hidden="1" customWidth="1"/>
    <col min="7" max="7" width="12.54296875" hidden="1" customWidth="1"/>
    <col min="8" max="8" width="43.90625" bestFit="1" customWidth="1"/>
    <col min="9" max="9" width="16.7265625" hidden="1" customWidth="1"/>
    <col min="10" max="16" width="0" hidden="1" customWidth="1"/>
    <col min="21" max="21" width="14.54296875" customWidth="1"/>
    <col min="28" max="28" width="19.81640625" customWidth="1"/>
  </cols>
  <sheetData>
    <row r="1" spans="1:29" ht="15.75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29</v>
      </c>
      <c r="AC1" s="2" t="s">
        <v>30</v>
      </c>
    </row>
    <row r="2" spans="1:29" s="7" customFormat="1" ht="15.75" customHeight="1" x14ac:dyDescent="0.25">
      <c r="A2" s="4" t="s">
        <v>31</v>
      </c>
      <c r="B2" s="5">
        <v>26074202</v>
      </c>
      <c r="C2" s="6" t="s">
        <v>27</v>
      </c>
      <c r="D2" s="7" t="s">
        <v>33</v>
      </c>
      <c r="E2" s="8"/>
      <c r="F2" s="9">
        <v>1111479</v>
      </c>
      <c r="G2" s="9" t="s">
        <v>73</v>
      </c>
      <c r="H2" s="7" t="s">
        <v>48</v>
      </c>
      <c r="J2" s="6" t="s">
        <v>28</v>
      </c>
      <c r="K2" s="7">
        <v>0.88</v>
      </c>
      <c r="L2" s="7">
        <v>1391</v>
      </c>
      <c r="M2" s="8">
        <v>18</v>
      </c>
      <c r="N2" s="8">
        <f>(K2*L2)*M2%</f>
        <v>220.33439999999999</v>
      </c>
      <c r="O2" s="6">
        <v>4</v>
      </c>
      <c r="P2" s="6">
        <f t="shared" ref="P2:P9" si="0">ROUND(K2*L2*(O2%),2)</f>
        <v>48.96</v>
      </c>
      <c r="Q2" s="8">
        <f t="shared" ref="Q2:Q9" si="1">ROUND(K2*L2,2)</f>
        <v>1224.08</v>
      </c>
      <c r="R2" s="8">
        <v>2</v>
      </c>
      <c r="S2" s="8">
        <f t="shared" ref="S2:S9" si="2">ROUND(Q2*R2%,2)</f>
        <v>24.48</v>
      </c>
      <c r="V2" s="8">
        <v>2.5</v>
      </c>
      <c r="W2" s="7">
        <f t="shared" ref="W2:W9" si="3">ROUND(SUM(Q2+P2+N2)*V2%,2)</f>
        <v>37.33</v>
      </c>
      <c r="X2" s="8">
        <f t="shared" ref="X2:X9" si="4">Q2+N2+W2</f>
        <v>1481.7443999999998</v>
      </c>
      <c r="AB2" s="7" t="s">
        <v>70</v>
      </c>
      <c r="AC2" s="7" t="s">
        <v>71</v>
      </c>
    </row>
    <row r="3" spans="1:29" s="7" customFormat="1" ht="15.75" customHeight="1" x14ac:dyDescent="0.25">
      <c r="A3" s="4" t="s">
        <v>31</v>
      </c>
      <c r="B3" s="5">
        <v>26074202</v>
      </c>
      <c r="C3" s="6" t="s">
        <v>27</v>
      </c>
      <c r="D3" s="7" t="s">
        <v>33</v>
      </c>
      <c r="E3" s="8"/>
      <c r="F3" s="9">
        <v>1111479</v>
      </c>
      <c r="G3" s="9" t="s">
        <v>73</v>
      </c>
      <c r="H3" s="7" t="s">
        <v>50</v>
      </c>
      <c r="J3" s="6" t="s">
        <v>28</v>
      </c>
      <c r="K3" s="7">
        <v>0.86399999999999999</v>
      </c>
      <c r="L3" s="7">
        <v>1254</v>
      </c>
      <c r="M3" s="8">
        <v>18</v>
      </c>
      <c r="N3" s="8">
        <f t="shared" ref="N3:N9" si="5">ROUND(K3*L3*(M3%),2)</f>
        <v>195.02</v>
      </c>
      <c r="O3" s="6">
        <v>4</v>
      </c>
      <c r="P3" s="6">
        <f t="shared" si="0"/>
        <v>43.34</v>
      </c>
      <c r="Q3" s="8">
        <f t="shared" si="1"/>
        <v>1083.46</v>
      </c>
      <c r="R3" s="8">
        <v>2</v>
      </c>
      <c r="S3" s="8">
        <f t="shared" si="2"/>
        <v>21.67</v>
      </c>
      <c r="V3" s="8">
        <v>2.5</v>
      </c>
      <c r="W3" s="7">
        <f t="shared" si="3"/>
        <v>33.049999999999997</v>
      </c>
      <c r="X3" s="8">
        <f t="shared" si="4"/>
        <v>1311.53</v>
      </c>
      <c r="AB3" s="7" t="s">
        <v>70</v>
      </c>
      <c r="AC3" s="7" t="s">
        <v>71</v>
      </c>
    </row>
    <row r="4" spans="1:29" s="7" customFormat="1" ht="15.75" customHeight="1" x14ac:dyDescent="0.25">
      <c r="A4" s="4" t="s">
        <v>31</v>
      </c>
      <c r="B4" s="5">
        <v>26074202</v>
      </c>
      <c r="C4" s="6" t="s">
        <v>27</v>
      </c>
      <c r="D4" s="7" t="s">
        <v>33</v>
      </c>
      <c r="E4" s="8"/>
      <c r="F4" s="9">
        <v>1111479</v>
      </c>
      <c r="G4" s="9" t="s">
        <v>73</v>
      </c>
      <c r="H4" s="7" t="s">
        <v>61</v>
      </c>
      <c r="J4" s="6" t="s">
        <v>28</v>
      </c>
      <c r="K4" s="7">
        <v>0.86399999999999999</v>
      </c>
      <c r="L4" s="7">
        <v>1254</v>
      </c>
      <c r="M4" s="8">
        <v>18</v>
      </c>
      <c r="N4" s="8">
        <f t="shared" si="5"/>
        <v>195.02</v>
      </c>
      <c r="O4" s="6">
        <v>4</v>
      </c>
      <c r="P4" s="6">
        <f t="shared" si="0"/>
        <v>43.34</v>
      </c>
      <c r="Q4" s="8">
        <f t="shared" si="1"/>
        <v>1083.46</v>
      </c>
      <c r="R4" s="8">
        <v>2</v>
      </c>
      <c r="S4" s="8">
        <f t="shared" si="2"/>
        <v>21.67</v>
      </c>
      <c r="V4" s="8">
        <v>2.5</v>
      </c>
      <c r="W4" s="7">
        <f t="shared" si="3"/>
        <v>33.049999999999997</v>
      </c>
      <c r="X4" s="8">
        <f t="shared" si="4"/>
        <v>1311.53</v>
      </c>
      <c r="AB4" s="7" t="s">
        <v>70</v>
      </c>
      <c r="AC4" s="7" t="s">
        <v>71</v>
      </c>
    </row>
    <row r="5" spans="1:29" s="7" customFormat="1" ht="15.75" customHeight="1" x14ac:dyDescent="0.25">
      <c r="A5" s="4" t="s">
        <v>31</v>
      </c>
      <c r="B5" s="5">
        <v>26074202</v>
      </c>
      <c r="C5" s="6" t="s">
        <v>27</v>
      </c>
      <c r="D5" s="7" t="s">
        <v>33</v>
      </c>
      <c r="E5" s="8"/>
      <c r="F5" s="9">
        <v>1111479</v>
      </c>
      <c r="G5" s="9" t="s">
        <v>73</v>
      </c>
      <c r="H5" s="7" t="s">
        <v>64</v>
      </c>
      <c r="J5" s="6" t="s">
        <v>28</v>
      </c>
      <c r="K5" s="7">
        <v>0.76800000000000002</v>
      </c>
      <c r="L5" s="7">
        <v>1424</v>
      </c>
      <c r="M5" s="8">
        <v>18</v>
      </c>
      <c r="N5" s="8">
        <f t="shared" si="5"/>
        <v>196.85</v>
      </c>
      <c r="O5" s="6">
        <v>4</v>
      </c>
      <c r="P5" s="6">
        <f t="shared" si="0"/>
        <v>43.75</v>
      </c>
      <c r="Q5" s="8">
        <f t="shared" si="1"/>
        <v>1093.6300000000001</v>
      </c>
      <c r="R5" s="8">
        <v>2</v>
      </c>
      <c r="S5" s="8">
        <f t="shared" si="2"/>
        <v>21.87</v>
      </c>
      <c r="V5" s="8">
        <v>2.5</v>
      </c>
      <c r="W5" s="7">
        <f t="shared" si="3"/>
        <v>33.36</v>
      </c>
      <c r="X5" s="8">
        <f t="shared" si="4"/>
        <v>1323.84</v>
      </c>
      <c r="AB5" s="7" t="s">
        <v>70</v>
      </c>
      <c r="AC5" s="7" t="s">
        <v>71</v>
      </c>
    </row>
    <row r="6" spans="1:29" s="7" customFormat="1" ht="15.75" customHeight="1" x14ac:dyDescent="0.25">
      <c r="A6" s="4" t="s">
        <v>31</v>
      </c>
      <c r="B6" s="5">
        <v>26074202</v>
      </c>
      <c r="C6" s="6" t="s">
        <v>27</v>
      </c>
      <c r="D6" s="7" t="s">
        <v>33</v>
      </c>
      <c r="E6" s="8"/>
      <c r="F6" s="9">
        <v>1111479</v>
      </c>
      <c r="G6" s="9" t="s">
        <v>73</v>
      </c>
      <c r="H6" s="7" t="s">
        <v>43</v>
      </c>
      <c r="J6" s="6" t="s">
        <v>28</v>
      </c>
      <c r="K6" s="7">
        <v>0.69599999999999995</v>
      </c>
      <c r="L6" s="7">
        <v>1301</v>
      </c>
      <c r="M6" s="8">
        <v>18</v>
      </c>
      <c r="N6" s="8">
        <f t="shared" si="5"/>
        <v>162.99</v>
      </c>
      <c r="O6" s="6">
        <v>4</v>
      </c>
      <c r="P6" s="6">
        <f t="shared" si="0"/>
        <v>36.22</v>
      </c>
      <c r="Q6" s="8">
        <f t="shared" si="1"/>
        <v>905.5</v>
      </c>
      <c r="R6" s="8">
        <v>2</v>
      </c>
      <c r="S6" s="8">
        <f t="shared" si="2"/>
        <v>18.11</v>
      </c>
      <c r="V6" s="8">
        <v>2.5</v>
      </c>
      <c r="W6" s="7">
        <f t="shared" si="3"/>
        <v>27.62</v>
      </c>
      <c r="X6" s="8">
        <f t="shared" si="4"/>
        <v>1096.1099999999999</v>
      </c>
      <c r="AB6" s="7" t="s">
        <v>70</v>
      </c>
      <c r="AC6" s="7" t="s">
        <v>71</v>
      </c>
    </row>
    <row r="7" spans="1:29" s="7" customFormat="1" ht="15.75" customHeight="1" x14ac:dyDescent="0.25">
      <c r="A7" s="4" t="s">
        <v>31</v>
      </c>
      <c r="B7" s="5">
        <v>26074202</v>
      </c>
      <c r="C7" s="6" t="s">
        <v>27</v>
      </c>
      <c r="D7" s="7" t="s">
        <v>33</v>
      </c>
      <c r="E7" s="8"/>
      <c r="F7" s="9">
        <v>1111479</v>
      </c>
      <c r="G7" s="9" t="s">
        <v>73</v>
      </c>
      <c r="H7" s="7" t="s">
        <v>44</v>
      </c>
      <c r="J7" s="6" t="s">
        <v>28</v>
      </c>
      <c r="K7" s="7">
        <v>0.68799999999999994</v>
      </c>
      <c r="L7" s="7">
        <v>1229</v>
      </c>
      <c r="M7" s="8">
        <v>18</v>
      </c>
      <c r="N7" s="8">
        <f t="shared" si="5"/>
        <v>152.19999999999999</v>
      </c>
      <c r="O7" s="6">
        <v>4</v>
      </c>
      <c r="P7" s="6">
        <f t="shared" si="0"/>
        <v>33.82</v>
      </c>
      <c r="Q7" s="8">
        <f t="shared" si="1"/>
        <v>845.55</v>
      </c>
      <c r="R7" s="8">
        <v>2</v>
      </c>
      <c r="S7" s="8">
        <f t="shared" si="2"/>
        <v>16.91</v>
      </c>
      <c r="V7" s="8">
        <v>2.5</v>
      </c>
      <c r="W7" s="7">
        <f t="shared" si="3"/>
        <v>25.79</v>
      </c>
      <c r="X7" s="8">
        <f t="shared" si="4"/>
        <v>1023.54</v>
      </c>
      <c r="AB7" s="7" t="s">
        <v>70</v>
      </c>
      <c r="AC7" s="7" t="s">
        <v>71</v>
      </c>
    </row>
    <row r="8" spans="1:29" s="7" customFormat="1" ht="15.75" customHeight="1" x14ac:dyDescent="0.25">
      <c r="A8" s="4" t="s">
        <v>31</v>
      </c>
      <c r="B8" s="5">
        <v>26074202</v>
      </c>
      <c r="C8" s="6" t="s">
        <v>27</v>
      </c>
      <c r="D8" s="7" t="s">
        <v>33</v>
      </c>
      <c r="E8" s="8"/>
      <c r="F8" s="9">
        <v>1111479</v>
      </c>
      <c r="G8" s="9" t="s">
        <v>73</v>
      </c>
      <c r="H8" s="7" t="s">
        <v>45</v>
      </c>
      <c r="J8" s="6" t="s">
        <v>28</v>
      </c>
      <c r="K8" s="7">
        <v>0.84</v>
      </c>
      <c r="L8" s="7">
        <v>1076</v>
      </c>
      <c r="M8" s="8">
        <v>18</v>
      </c>
      <c r="N8" s="8">
        <f t="shared" si="5"/>
        <v>162.69</v>
      </c>
      <c r="O8" s="6">
        <v>4</v>
      </c>
      <c r="P8" s="6">
        <f t="shared" si="0"/>
        <v>36.15</v>
      </c>
      <c r="Q8" s="8">
        <f t="shared" si="1"/>
        <v>903.84</v>
      </c>
      <c r="R8" s="8">
        <v>2</v>
      </c>
      <c r="S8" s="8">
        <f t="shared" si="2"/>
        <v>18.079999999999998</v>
      </c>
      <c r="V8" s="8">
        <v>2.5</v>
      </c>
      <c r="W8" s="7">
        <f t="shared" si="3"/>
        <v>27.57</v>
      </c>
      <c r="X8" s="8">
        <f t="shared" si="4"/>
        <v>1094.0999999999999</v>
      </c>
      <c r="AB8" s="7" t="s">
        <v>70</v>
      </c>
      <c r="AC8" s="7" t="s">
        <v>71</v>
      </c>
    </row>
    <row r="9" spans="1:29" s="7" customFormat="1" ht="15.75" customHeight="1" x14ac:dyDescent="0.25">
      <c r="A9" s="4" t="s">
        <v>31</v>
      </c>
      <c r="B9" s="5">
        <v>26074202</v>
      </c>
      <c r="C9" s="6" t="s">
        <v>27</v>
      </c>
      <c r="D9" s="7" t="s">
        <v>33</v>
      </c>
      <c r="E9" s="8"/>
      <c r="F9" s="9">
        <v>1111479</v>
      </c>
      <c r="G9" s="9" t="s">
        <v>73</v>
      </c>
      <c r="H9" s="7" t="s">
        <v>46</v>
      </c>
      <c r="J9" s="6" t="s">
        <v>28</v>
      </c>
      <c r="K9" s="7">
        <v>1.3919999999999999</v>
      </c>
      <c r="L9" s="7">
        <v>972</v>
      </c>
      <c r="M9" s="8">
        <v>18</v>
      </c>
      <c r="N9" s="8">
        <f t="shared" si="5"/>
        <v>243.54</v>
      </c>
      <c r="O9" s="6">
        <v>4</v>
      </c>
      <c r="P9" s="6">
        <f t="shared" si="0"/>
        <v>54.12</v>
      </c>
      <c r="Q9" s="8">
        <f t="shared" si="1"/>
        <v>1353.02</v>
      </c>
      <c r="R9" s="8">
        <v>2</v>
      </c>
      <c r="S9" s="8">
        <f t="shared" si="2"/>
        <v>27.06</v>
      </c>
      <c r="V9" s="8">
        <v>2.5</v>
      </c>
      <c r="W9" s="7">
        <f t="shared" si="3"/>
        <v>41.27</v>
      </c>
      <c r="X9" s="8">
        <f t="shared" si="4"/>
        <v>1637.83</v>
      </c>
      <c r="AB9" s="7" t="s">
        <v>70</v>
      </c>
      <c r="AC9" s="7" t="s">
        <v>71</v>
      </c>
    </row>
    <row r="10" spans="1:29" s="7" customFormat="1" ht="15.75" hidden="1" customHeight="1" x14ac:dyDescent="0.25">
      <c r="A10" s="4" t="s">
        <v>31</v>
      </c>
      <c r="B10" s="5">
        <v>26074226</v>
      </c>
      <c r="C10" s="6" t="s">
        <v>27</v>
      </c>
      <c r="D10" s="7" t="s">
        <v>32</v>
      </c>
      <c r="E10" s="8"/>
      <c r="F10" s="9">
        <v>1111620</v>
      </c>
      <c r="G10" s="9" t="s">
        <v>73</v>
      </c>
      <c r="H10" s="7" t="s">
        <v>43</v>
      </c>
      <c r="J10" s="6" t="s">
        <v>28</v>
      </c>
      <c r="K10" s="7">
        <v>0.69599999999999995</v>
      </c>
      <c r="L10" s="7">
        <v>1275</v>
      </c>
      <c r="M10" s="8">
        <v>18</v>
      </c>
      <c r="N10" s="8">
        <f t="shared" ref="N10:N13" si="6">ROUND(K10*L10*(M10%),2)</f>
        <v>159.72999999999999</v>
      </c>
      <c r="O10" s="6">
        <v>4</v>
      </c>
      <c r="P10" s="6">
        <f t="shared" ref="P10:P13" si="7">ROUND(K10*L10*(O10%),2)</f>
        <v>35.5</v>
      </c>
      <c r="Q10" s="8">
        <f t="shared" ref="Q10:Q13" si="8">ROUND(K10*L10,2)</f>
        <v>887.4</v>
      </c>
      <c r="R10" s="8">
        <v>2</v>
      </c>
      <c r="S10" s="8">
        <f t="shared" ref="S10:S13" si="9">ROUND(Q10*R10%,2)</f>
        <v>17.75</v>
      </c>
      <c r="V10" s="8">
        <v>2.5</v>
      </c>
      <c r="W10" s="7">
        <f t="shared" ref="W10:W13" si="10">ROUND(SUM(Q10+P10+N10)*V10%,2)</f>
        <v>27.07</v>
      </c>
      <c r="X10" s="8">
        <f t="shared" ref="X10:X13" si="11">Q10+N10+W10</f>
        <v>1074.1999999999998</v>
      </c>
      <c r="AB10" s="7" t="s">
        <v>70</v>
      </c>
      <c r="AC10" s="7" t="s">
        <v>71</v>
      </c>
    </row>
    <row r="11" spans="1:29" s="7" customFormat="1" ht="15.75" hidden="1" customHeight="1" x14ac:dyDescent="0.25">
      <c r="A11" s="4" t="s">
        <v>31</v>
      </c>
      <c r="B11" s="5">
        <v>26074226</v>
      </c>
      <c r="C11" s="6" t="s">
        <v>27</v>
      </c>
      <c r="D11" s="7" t="s">
        <v>32</v>
      </c>
      <c r="E11" s="8"/>
      <c r="F11" s="9">
        <v>1111620</v>
      </c>
      <c r="G11" s="9" t="s">
        <v>73</v>
      </c>
      <c r="H11" s="7" t="s">
        <v>44</v>
      </c>
      <c r="J11" s="6" t="s">
        <v>28</v>
      </c>
      <c r="K11" s="7">
        <v>0.68799999999999994</v>
      </c>
      <c r="L11" s="7">
        <v>1204</v>
      </c>
      <c r="M11" s="8">
        <v>18</v>
      </c>
      <c r="N11" s="8">
        <f t="shared" si="6"/>
        <v>149.1</v>
      </c>
      <c r="O11" s="6">
        <v>4</v>
      </c>
      <c r="P11" s="6">
        <f t="shared" si="7"/>
        <v>33.130000000000003</v>
      </c>
      <c r="Q11" s="8">
        <f t="shared" si="8"/>
        <v>828.35</v>
      </c>
      <c r="R11" s="8">
        <v>2</v>
      </c>
      <c r="S11" s="8">
        <f t="shared" si="9"/>
        <v>16.57</v>
      </c>
      <c r="V11" s="8">
        <v>2.5</v>
      </c>
      <c r="W11" s="7">
        <f t="shared" si="10"/>
        <v>25.26</v>
      </c>
      <c r="X11" s="8">
        <f t="shared" si="11"/>
        <v>1002.71</v>
      </c>
      <c r="AB11" s="7" t="s">
        <v>70</v>
      </c>
      <c r="AC11" s="7" t="s">
        <v>71</v>
      </c>
    </row>
    <row r="12" spans="1:29" s="7" customFormat="1" ht="15.75" hidden="1" customHeight="1" x14ac:dyDescent="0.25">
      <c r="A12" s="4" t="s">
        <v>31</v>
      </c>
      <c r="B12" s="5">
        <v>26074226</v>
      </c>
      <c r="C12" s="6" t="s">
        <v>27</v>
      </c>
      <c r="D12" s="7" t="s">
        <v>32</v>
      </c>
      <c r="E12" s="8"/>
      <c r="F12" s="9">
        <v>1111620</v>
      </c>
      <c r="G12" s="9" t="s">
        <v>73</v>
      </c>
      <c r="H12" s="7" t="s">
        <v>45</v>
      </c>
      <c r="J12" s="6" t="s">
        <v>28</v>
      </c>
      <c r="K12" s="7">
        <v>0.84</v>
      </c>
      <c r="L12" s="7">
        <v>1054</v>
      </c>
      <c r="M12" s="8">
        <v>18</v>
      </c>
      <c r="N12" s="8">
        <f t="shared" si="6"/>
        <v>159.36000000000001</v>
      </c>
      <c r="O12" s="6">
        <v>4</v>
      </c>
      <c r="P12" s="6">
        <f t="shared" si="7"/>
        <v>35.409999999999997</v>
      </c>
      <c r="Q12" s="8">
        <f t="shared" si="8"/>
        <v>885.36</v>
      </c>
      <c r="R12" s="8">
        <v>2</v>
      </c>
      <c r="S12" s="8">
        <f t="shared" si="9"/>
        <v>17.71</v>
      </c>
      <c r="V12" s="8">
        <v>2.5</v>
      </c>
      <c r="W12" s="7">
        <f t="shared" si="10"/>
        <v>27</v>
      </c>
      <c r="X12" s="8">
        <f t="shared" si="11"/>
        <v>1071.72</v>
      </c>
      <c r="AB12" s="7" t="s">
        <v>70</v>
      </c>
      <c r="AC12" s="7" t="s">
        <v>71</v>
      </c>
    </row>
    <row r="13" spans="1:29" s="7" customFormat="1" ht="15.75" hidden="1" customHeight="1" x14ac:dyDescent="0.25">
      <c r="A13" s="4" t="s">
        <v>31</v>
      </c>
      <c r="B13" s="5">
        <v>26074226</v>
      </c>
      <c r="C13" s="6" t="s">
        <v>27</v>
      </c>
      <c r="D13" s="7" t="s">
        <v>32</v>
      </c>
      <c r="E13" s="8"/>
      <c r="F13" s="9">
        <v>1111620</v>
      </c>
      <c r="G13" s="9" t="s">
        <v>72</v>
      </c>
      <c r="H13" s="7" t="s">
        <v>49</v>
      </c>
      <c r="J13" s="6" t="s">
        <v>28</v>
      </c>
      <c r="K13" s="7">
        <v>0.84</v>
      </c>
      <c r="L13" s="7">
        <v>1074</v>
      </c>
      <c r="M13" s="8">
        <v>18</v>
      </c>
      <c r="N13" s="8">
        <f t="shared" si="6"/>
        <v>162.38999999999999</v>
      </c>
      <c r="O13" s="6">
        <v>4</v>
      </c>
      <c r="P13" s="6">
        <f t="shared" si="7"/>
        <v>36.090000000000003</v>
      </c>
      <c r="Q13" s="8">
        <f t="shared" si="8"/>
        <v>902.16</v>
      </c>
      <c r="R13" s="8">
        <v>2</v>
      </c>
      <c r="S13" s="8">
        <f t="shared" si="9"/>
        <v>18.04</v>
      </c>
      <c r="V13" s="8">
        <v>2.5</v>
      </c>
      <c r="W13" s="7">
        <f t="shared" si="10"/>
        <v>27.52</v>
      </c>
      <c r="X13" s="8">
        <f t="shared" si="11"/>
        <v>1092.07</v>
      </c>
      <c r="AB13" s="7" t="s">
        <v>70</v>
      </c>
      <c r="AC13" s="7" t="s">
        <v>71</v>
      </c>
    </row>
    <row r="14" spans="1:29" s="7" customFormat="1" ht="15.75" hidden="1" customHeight="1" x14ac:dyDescent="0.25">
      <c r="A14" s="4" t="s">
        <v>31</v>
      </c>
      <c r="B14" s="5">
        <v>26074239</v>
      </c>
      <c r="C14" s="6" t="s">
        <v>27</v>
      </c>
      <c r="D14" s="7" t="s">
        <v>34</v>
      </c>
      <c r="E14" s="8"/>
      <c r="F14" s="9">
        <v>1111300</v>
      </c>
      <c r="G14" s="9" t="s">
        <v>73</v>
      </c>
      <c r="H14" s="7" t="s">
        <v>51</v>
      </c>
      <c r="J14" s="6" t="s">
        <v>28</v>
      </c>
      <c r="K14" s="7">
        <v>0.86399999999999999</v>
      </c>
      <c r="L14" s="7">
        <v>1025</v>
      </c>
      <c r="M14" s="8">
        <v>18</v>
      </c>
      <c r="N14" s="8">
        <f t="shared" ref="N14:N23" si="12">ROUND(K14*L14*(M14%),2)</f>
        <v>159.41</v>
      </c>
      <c r="O14" s="6">
        <v>4</v>
      </c>
      <c r="P14" s="6">
        <f t="shared" ref="P14:P23" si="13">ROUND(K14*L14*(O14%),2)</f>
        <v>35.42</v>
      </c>
      <c r="Q14" s="8">
        <f t="shared" ref="Q14:Q23" si="14">ROUND(K14*L14,2)</f>
        <v>885.6</v>
      </c>
      <c r="R14" s="8">
        <v>2</v>
      </c>
      <c r="S14" s="8">
        <f t="shared" ref="S14:S23" si="15">ROUND(Q14*R14%,2)</f>
        <v>17.71</v>
      </c>
      <c r="V14" s="8">
        <v>2.5</v>
      </c>
      <c r="W14" s="7">
        <f t="shared" ref="W14:W23" si="16">ROUND(SUM(Q14+P14+N14)*V14%,2)</f>
        <v>27.01</v>
      </c>
      <c r="X14" s="8">
        <f t="shared" ref="X14:X23" si="17">Q14+N14+W14</f>
        <v>1072.02</v>
      </c>
      <c r="AB14" s="7" t="s">
        <v>70</v>
      </c>
      <c r="AC14" s="7" t="s">
        <v>71</v>
      </c>
    </row>
    <row r="15" spans="1:29" s="7" customFormat="1" ht="15.75" hidden="1" customHeight="1" x14ac:dyDescent="0.25">
      <c r="A15" s="4" t="s">
        <v>31</v>
      </c>
      <c r="B15" s="5">
        <v>26074239</v>
      </c>
      <c r="C15" s="6" t="s">
        <v>27</v>
      </c>
      <c r="D15" s="7" t="s">
        <v>34</v>
      </c>
      <c r="E15" s="8"/>
      <c r="F15" s="9">
        <v>1111300</v>
      </c>
      <c r="G15" s="9" t="s">
        <v>73</v>
      </c>
      <c r="H15" s="7" t="s">
        <v>48</v>
      </c>
      <c r="J15" s="6" t="s">
        <v>28</v>
      </c>
      <c r="K15" s="7">
        <v>0.88</v>
      </c>
      <c r="L15" s="7">
        <v>1364</v>
      </c>
      <c r="M15" s="8">
        <v>18</v>
      </c>
      <c r="N15" s="8">
        <f t="shared" si="12"/>
        <v>216.06</v>
      </c>
      <c r="O15" s="6">
        <v>4</v>
      </c>
      <c r="P15" s="6">
        <f t="shared" si="13"/>
        <v>48.01</v>
      </c>
      <c r="Q15" s="8">
        <f t="shared" si="14"/>
        <v>1200.32</v>
      </c>
      <c r="R15" s="8">
        <v>2</v>
      </c>
      <c r="S15" s="8">
        <f t="shared" si="15"/>
        <v>24.01</v>
      </c>
      <c r="V15" s="8">
        <v>2.5</v>
      </c>
      <c r="W15" s="7">
        <f t="shared" si="16"/>
        <v>36.61</v>
      </c>
      <c r="X15" s="8">
        <f t="shared" si="17"/>
        <v>1452.9899999999998</v>
      </c>
      <c r="AB15" s="7" t="s">
        <v>70</v>
      </c>
      <c r="AC15" s="7" t="s">
        <v>71</v>
      </c>
    </row>
    <row r="16" spans="1:29" s="7" customFormat="1" ht="15.75" hidden="1" customHeight="1" x14ac:dyDescent="0.25">
      <c r="A16" s="4" t="s">
        <v>31</v>
      </c>
      <c r="B16" s="5">
        <v>26074239</v>
      </c>
      <c r="C16" s="6" t="s">
        <v>27</v>
      </c>
      <c r="D16" s="7" t="s">
        <v>34</v>
      </c>
      <c r="E16" s="8"/>
      <c r="F16" s="9">
        <v>1111300</v>
      </c>
      <c r="G16" s="9" t="s">
        <v>73</v>
      </c>
      <c r="H16" s="7" t="s">
        <v>50</v>
      </c>
      <c r="J16" s="6" t="s">
        <v>28</v>
      </c>
      <c r="K16" s="7">
        <v>0.86399999999999999</v>
      </c>
      <c r="L16" s="7">
        <v>1229</v>
      </c>
      <c r="M16" s="8">
        <v>18</v>
      </c>
      <c r="N16" s="8">
        <f t="shared" si="12"/>
        <v>191.13</v>
      </c>
      <c r="O16" s="6">
        <v>4</v>
      </c>
      <c r="P16" s="6">
        <f t="shared" si="13"/>
        <v>42.47</v>
      </c>
      <c r="Q16" s="8">
        <f t="shared" si="14"/>
        <v>1061.8599999999999</v>
      </c>
      <c r="R16" s="8">
        <v>2</v>
      </c>
      <c r="S16" s="8">
        <f t="shared" si="15"/>
        <v>21.24</v>
      </c>
      <c r="V16" s="8">
        <v>2.5</v>
      </c>
      <c r="W16" s="7">
        <f t="shared" si="16"/>
        <v>32.39</v>
      </c>
      <c r="X16" s="8">
        <f t="shared" si="17"/>
        <v>1285.3799999999999</v>
      </c>
      <c r="AB16" s="7" t="s">
        <v>70</v>
      </c>
      <c r="AC16" s="7" t="s">
        <v>71</v>
      </c>
    </row>
    <row r="17" spans="1:29" s="7" customFormat="1" ht="15.75" hidden="1" customHeight="1" x14ac:dyDescent="0.25">
      <c r="A17" s="4" t="s">
        <v>31</v>
      </c>
      <c r="B17" s="5">
        <v>26074239</v>
      </c>
      <c r="C17" s="6" t="s">
        <v>27</v>
      </c>
      <c r="D17" s="7" t="s">
        <v>34</v>
      </c>
      <c r="E17" s="8"/>
      <c r="F17" s="9">
        <v>1111300</v>
      </c>
      <c r="G17" s="9" t="s">
        <v>73</v>
      </c>
      <c r="H17" s="7" t="s">
        <v>61</v>
      </c>
      <c r="J17" s="6" t="s">
        <v>28</v>
      </c>
      <c r="K17" s="7">
        <v>0.86399999999999999</v>
      </c>
      <c r="L17" s="7">
        <v>1229</v>
      </c>
      <c r="M17" s="8">
        <v>18</v>
      </c>
      <c r="N17" s="8">
        <f t="shared" si="12"/>
        <v>191.13</v>
      </c>
      <c r="O17" s="6">
        <v>4</v>
      </c>
      <c r="P17" s="6">
        <f t="shared" si="13"/>
        <v>42.47</v>
      </c>
      <c r="Q17" s="8">
        <f t="shared" si="14"/>
        <v>1061.8599999999999</v>
      </c>
      <c r="R17" s="8">
        <v>2</v>
      </c>
      <c r="S17" s="8">
        <f t="shared" si="15"/>
        <v>21.24</v>
      </c>
      <c r="V17" s="8">
        <v>2.5</v>
      </c>
      <c r="W17" s="7">
        <f t="shared" si="16"/>
        <v>32.39</v>
      </c>
      <c r="X17" s="8">
        <f t="shared" si="17"/>
        <v>1285.3799999999999</v>
      </c>
      <c r="AB17" s="7" t="s">
        <v>70</v>
      </c>
      <c r="AC17" s="7" t="s">
        <v>71</v>
      </c>
    </row>
    <row r="18" spans="1:29" s="7" customFormat="1" ht="15.75" hidden="1" customHeight="1" x14ac:dyDescent="0.25">
      <c r="A18" s="4" t="s">
        <v>31</v>
      </c>
      <c r="B18" s="5">
        <v>26074239</v>
      </c>
      <c r="C18" s="6" t="s">
        <v>27</v>
      </c>
      <c r="D18" s="7" t="s">
        <v>34</v>
      </c>
      <c r="E18" s="8"/>
      <c r="F18" s="9">
        <v>1111300</v>
      </c>
      <c r="G18" s="9" t="s">
        <v>73</v>
      </c>
      <c r="H18" s="7" t="s">
        <v>36</v>
      </c>
      <c r="J18" s="6" t="s">
        <v>28</v>
      </c>
      <c r="K18" s="7">
        <v>0.72</v>
      </c>
      <c r="L18" s="7">
        <v>1233</v>
      </c>
      <c r="M18" s="8">
        <v>18</v>
      </c>
      <c r="N18" s="8">
        <f t="shared" si="12"/>
        <v>159.80000000000001</v>
      </c>
      <c r="O18" s="6">
        <v>4</v>
      </c>
      <c r="P18" s="6">
        <f t="shared" si="13"/>
        <v>35.51</v>
      </c>
      <c r="Q18" s="8">
        <f t="shared" si="14"/>
        <v>887.76</v>
      </c>
      <c r="R18" s="8">
        <v>2</v>
      </c>
      <c r="S18" s="8">
        <f t="shared" si="15"/>
        <v>17.760000000000002</v>
      </c>
      <c r="V18" s="8">
        <v>2.5</v>
      </c>
      <c r="W18" s="7">
        <f t="shared" si="16"/>
        <v>27.08</v>
      </c>
      <c r="X18" s="8">
        <f t="shared" si="17"/>
        <v>1074.6399999999999</v>
      </c>
      <c r="AB18" s="7" t="s">
        <v>70</v>
      </c>
      <c r="AC18" s="7" t="s">
        <v>71</v>
      </c>
    </row>
    <row r="19" spans="1:29" s="7" customFormat="1" ht="15.75" hidden="1" customHeight="1" x14ac:dyDescent="0.25">
      <c r="A19" s="4" t="s">
        <v>31</v>
      </c>
      <c r="B19" s="5">
        <v>26074239</v>
      </c>
      <c r="C19" s="6" t="s">
        <v>27</v>
      </c>
      <c r="D19" s="7" t="s">
        <v>34</v>
      </c>
      <c r="E19" s="8"/>
      <c r="F19" s="9">
        <v>1111300</v>
      </c>
      <c r="G19" s="9" t="s">
        <v>73</v>
      </c>
      <c r="H19" s="7" t="s">
        <v>37</v>
      </c>
      <c r="J19" s="6" t="s">
        <v>28</v>
      </c>
      <c r="K19" s="7">
        <v>0.72</v>
      </c>
      <c r="L19" s="7">
        <v>1233</v>
      </c>
      <c r="M19" s="8">
        <v>18</v>
      </c>
      <c r="N19" s="8">
        <f t="shared" si="12"/>
        <v>159.80000000000001</v>
      </c>
      <c r="O19" s="6">
        <v>4</v>
      </c>
      <c r="P19" s="6">
        <f t="shared" si="13"/>
        <v>35.51</v>
      </c>
      <c r="Q19" s="8">
        <f t="shared" si="14"/>
        <v>887.76</v>
      </c>
      <c r="R19" s="8">
        <v>2</v>
      </c>
      <c r="S19" s="8">
        <f t="shared" si="15"/>
        <v>17.760000000000002</v>
      </c>
      <c r="V19" s="8">
        <v>2.5</v>
      </c>
      <c r="W19" s="7">
        <f t="shared" si="16"/>
        <v>27.08</v>
      </c>
      <c r="X19" s="8">
        <f t="shared" si="17"/>
        <v>1074.6399999999999</v>
      </c>
      <c r="AB19" s="7" t="s">
        <v>70</v>
      </c>
      <c r="AC19" s="7" t="s">
        <v>71</v>
      </c>
    </row>
    <row r="20" spans="1:29" s="7" customFormat="1" ht="15.75" hidden="1" customHeight="1" x14ac:dyDescent="0.25">
      <c r="A20" s="4" t="s">
        <v>31</v>
      </c>
      <c r="B20" s="5">
        <v>26074239</v>
      </c>
      <c r="C20" s="6" t="s">
        <v>27</v>
      </c>
      <c r="D20" s="7" t="s">
        <v>34</v>
      </c>
      <c r="E20" s="8"/>
      <c r="F20" s="9">
        <v>1111300</v>
      </c>
      <c r="G20" s="9" t="s">
        <v>73</v>
      </c>
      <c r="H20" s="7" t="s">
        <v>54</v>
      </c>
      <c r="J20" s="6" t="s">
        <v>28</v>
      </c>
      <c r="K20" s="7">
        <v>0.72</v>
      </c>
      <c r="L20" s="7">
        <v>1233</v>
      </c>
      <c r="M20" s="8">
        <v>18</v>
      </c>
      <c r="N20" s="8">
        <f t="shared" si="12"/>
        <v>159.80000000000001</v>
      </c>
      <c r="O20" s="6">
        <v>4</v>
      </c>
      <c r="P20" s="6">
        <f t="shared" si="13"/>
        <v>35.51</v>
      </c>
      <c r="Q20" s="8">
        <f t="shared" si="14"/>
        <v>887.76</v>
      </c>
      <c r="R20" s="8">
        <v>2</v>
      </c>
      <c r="S20" s="8">
        <f t="shared" si="15"/>
        <v>17.760000000000002</v>
      </c>
      <c r="V20" s="8">
        <v>2.5</v>
      </c>
      <c r="W20" s="7">
        <f t="shared" si="16"/>
        <v>27.08</v>
      </c>
      <c r="X20" s="8">
        <f t="shared" si="17"/>
        <v>1074.6399999999999</v>
      </c>
      <c r="AB20" s="7" t="s">
        <v>70</v>
      </c>
      <c r="AC20" s="7" t="s">
        <v>71</v>
      </c>
    </row>
    <row r="21" spans="1:29" s="7" customFormat="1" ht="15.75" hidden="1" customHeight="1" x14ac:dyDescent="0.25">
      <c r="A21" s="4" t="s">
        <v>31</v>
      </c>
      <c r="B21" s="5">
        <v>26074239</v>
      </c>
      <c r="C21" s="6" t="s">
        <v>27</v>
      </c>
      <c r="D21" s="7" t="s">
        <v>34</v>
      </c>
      <c r="E21" s="8"/>
      <c r="F21" s="9">
        <v>1111300</v>
      </c>
      <c r="G21" s="9" t="s">
        <v>73</v>
      </c>
      <c r="H21" s="7" t="s">
        <v>55</v>
      </c>
      <c r="J21" s="6" t="s">
        <v>28</v>
      </c>
      <c r="K21" s="7">
        <v>0.72</v>
      </c>
      <c r="L21" s="7">
        <v>1237</v>
      </c>
      <c r="M21" s="8">
        <v>18</v>
      </c>
      <c r="N21" s="8">
        <f t="shared" si="12"/>
        <v>160.32</v>
      </c>
      <c r="O21" s="6">
        <v>4</v>
      </c>
      <c r="P21" s="6">
        <f t="shared" si="13"/>
        <v>35.630000000000003</v>
      </c>
      <c r="Q21" s="8">
        <f t="shared" si="14"/>
        <v>890.64</v>
      </c>
      <c r="R21" s="8">
        <v>2</v>
      </c>
      <c r="S21" s="8">
        <f t="shared" si="15"/>
        <v>17.809999999999999</v>
      </c>
      <c r="V21" s="8">
        <v>2.5</v>
      </c>
      <c r="W21" s="7">
        <f t="shared" si="16"/>
        <v>27.16</v>
      </c>
      <c r="X21" s="8">
        <f t="shared" si="17"/>
        <v>1078.1200000000001</v>
      </c>
      <c r="AB21" s="7" t="s">
        <v>70</v>
      </c>
      <c r="AC21" s="7" t="s">
        <v>71</v>
      </c>
    </row>
    <row r="22" spans="1:29" s="7" customFormat="1" ht="15.75" hidden="1" customHeight="1" x14ac:dyDescent="0.25">
      <c r="A22" s="4" t="s">
        <v>31</v>
      </c>
      <c r="B22" s="5">
        <v>26074239</v>
      </c>
      <c r="C22" s="6" t="s">
        <v>27</v>
      </c>
      <c r="D22" s="7" t="s">
        <v>34</v>
      </c>
      <c r="E22" s="8"/>
      <c r="F22" s="9">
        <v>1111300</v>
      </c>
      <c r="G22" s="9" t="s">
        <v>73</v>
      </c>
      <c r="H22" s="7" t="s">
        <v>43</v>
      </c>
      <c r="J22" s="6" t="s">
        <v>28</v>
      </c>
      <c r="K22" s="7">
        <v>0.69599999999999995</v>
      </c>
      <c r="L22" s="7">
        <v>1275</v>
      </c>
      <c r="M22" s="8">
        <v>18</v>
      </c>
      <c r="N22" s="8">
        <f t="shared" si="12"/>
        <v>159.72999999999999</v>
      </c>
      <c r="O22" s="6">
        <v>4</v>
      </c>
      <c r="P22" s="6">
        <f t="shared" si="13"/>
        <v>35.5</v>
      </c>
      <c r="Q22" s="8">
        <f t="shared" si="14"/>
        <v>887.4</v>
      </c>
      <c r="R22" s="8">
        <v>2</v>
      </c>
      <c r="S22" s="8">
        <f t="shared" si="15"/>
        <v>17.75</v>
      </c>
      <c r="V22" s="8">
        <v>2.5</v>
      </c>
      <c r="W22" s="7">
        <f t="shared" si="16"/>
        <v>27.07</v>
      </c>
      <c r="X22" s="8">
        <f t="shared" si="17"/>
        <v>1074.1999999999998</v>
      </c>
      <c r="AB22" s="7" t="s">
        <v>70</v>
      </c>
      <c r="AC22" s="7" t="s">
        <v>71</v>
      </c>
    </row>
    <row r="23" spans="1:29" s="7" customFormat="1" ht="15.75" hidden="1" customHeight="1" x14ac:dyDescent="0.25">
      <c r="A23" s="4" t="s">
        <v>31</v>
      </c>
      <c r="B23" s="5">
        <v>26074239</v>
      </c>
      <c r="C23" s="6" t="s">
        <v>27</v>
      </c>
      <c r="D23" s="7" t="s">
        <v>34</v>
      </c>
      <c r="E23" s="8"/>
      <c r="F23" s="9">
        <v>1111300</v>
      </c>
      <c r="G23" s="9" t="s">
        <v>73</v>
      </c>
      <c r="H23" s="7" t="s">
        <v>45</v>
      </c>
      <c r="J23" s="6" t="s">
        <v>28</v>
      </c>
      <c r="K23" s="7">
        <v>0.84</v>
      </c>
      <c r="L23" s="7">
        <v>1054</v>
      </c>
      <c r="M23" s="8">
        <v>18</v>
      </c>
      <c r="N23" s="8">
        <f t="shared" si="12"/>
        <v>159.36000000000001</v>
      </c>
      <c r="O23" s="6">
        <v>4</v>
      </c>
      <c r="P23" s="6">
        <f t="shared" si="13"/>
        <v>35.409999999999997</v>
      </c>
      <c r="Q23" s="8">
        <f t="shared" si="14"/>
        <v>885.36</v>
      </c>
      <c r="R23" s="8">
        <v>2</v>
      </c>
      <c r="S23" s="8">
        <f t="shared" si="15"/>
        <v>17.71</v>
      </c>
      <c r="V23" s="8">
        <v>2.5</v>
      </c>
      <c r="W23" s="7">
        <f t="shared" si="16"/>
        <v>27</v>
      </c>
      <c r="X23" s="8">
        <f t="shared" si="17"/>
        <v>1071.72</v>
      </c>
      <c r="AB23" s="7" t="s">
        <v>70</v>
      </c>
      <c r="AC23" s="7" t="s">
        <v>71</v>
      </c>
    </row>
    <row r="24" spans="1:29" s="7" customFormat="1" ht="15" hidden="1" customHeight="1" x14ac:dyDescent="0.25">
      <c r="A24" s="4" t="s">
        <v>31</v>
      </c>
      <c r="B24" s="5">
        <v>26074335</v>
      </c>
      <c r="C24" s="6" t="s">
        <v>27</v>
      </c>
      <c r="D24" s="7" t="s">
        <v>35</v>
      </c>
      <c r="E24" s="8"/>
      <c r="F24" s="9">
        <v>3110009</v>
      </c>
      <c r="G24" s="9" t="s">
        <v>73</v>
      </c>
      <c r="H24" s="7" t="s">
        <v>52</v>
      </c>
      <c r="J24" s="6" t="s">
        <v>28</v>
      </c>
      <c r="K24" s="7">
        <v>1.08</v>
      </c>
      <c r="L24" s="7">
        <v>994</v>
      </c>
      <c r="M24" s="8">
        <v>18</v>
      </c>
      <c r="N24" s="8">
        <f t="shared" ref="N24:N33" si="18">ROUND(K24*L24*(M24%),2)</f>
        <v>193.23</v>
      </c>
      <c r="O24" s="6">
        <v>4</v>
      </c>
      <c r="P24" s="6">
        <f t="shared" ref="P24:P33" si="19">ROUND(K24*L24*(O24%),2)</f>
        <v>42.94</v>
      </c>
      <c r="Q24" s="8">
        <f t="shared" ref="Q24:Q33" si="20">ROUND(K24*L24,2)</f>
        <v>1073.52</v>
      </c>
      <c r="R24" s="8">
        <v>2</v>
      </c>
      <c r="S24" s="8">
        <f t="shared" ref="S24:S33" si="21">ROUND(Q24*R24%,2)</f>
        <v>21.47</v>
      </c>
      <c r="V24" s="8">
        <v>0.5</v>
      </c>
      <c r="W24" s="7">
        <f t="shared" ref="W24:W33" si="22">ROUND(SUM(Q24+P24+N24)*V24%,2)</f>
        <v>6.55</v>
      </c>
      <c r="X24" s="8">
        <f t="shared" ref="X24:X33" si="23">Q24+N24+W24</f>
        <v>1273.3</v>
      </c>
      <c r="AB24" s="7" t="s">
        <v>70</v>
      </c>
      <c r="AC24" s="7" t="s">
        <v>71</v>
      </c>
    </row>
    <row r="25" spans="1:29" s="7" customFormat="1" ht="15" hidden="1" customHeight="1" x14ac:dyDescent="0.25">
      <c r="A25" s="4" t="s">
        <v>31</v>
      </c>
      <c r="B25" s="5">
        <v>26074335</v>
      </c>
      <c r="C25" s="6" t="s">
        <v>27</v>
      </c>
      <c r="D25" s="7" t="s">
        <v>35</v>
      </c>
      <c r="E25" s="8"/>
      <c r="F25" s="9">
        <v>3110009</v>
      </c>
      <c r="G25" s="9" t="s">
        <v>73</v>
      </c>
      <c r="H25" s="7" t="s">
        <v>53</v>
      </c>
      <c r="J25" s="6" t="s">
        <v>28</v>
      </c>
      <c r="K25" s="7">
        <v>7.1999999999999995E-2</v>
      </c>
      <c r="L25" s="7">
        <v>994</v>
      </c>
      <c r="M25" s="8">
        <v>18</v>
      </c>
      <c r="N25" s="8">
        <f t="shared" si="18"/>
        <v>12.88</v>
      </c>
      <c r="O25" s="6">
        <v>4</v>
      </c>
      <c r="P25" s="6">
        <f t="shared" si="19"/>
        <v>2.86</v>
      </c>
      <c r="Q25" s="8">
        <f t="shared" si="20"/>
        <v>71.569999999999993</v>
      </c>
      <c r="R25" s="8">
        <v>2</v>
      </c>
      <c r="S25" s="8">
        <f t="shared" si="21"/>
        <v>1.43</v>
      </c>
      <c r="V25" s="8">
        <v>0.5</v>
      </c>
      <c r="W25" s="7">
        <f t="shared" si="22"/>
        <v>0.44</v>
      </c>
      <c r="X25" s="8">
        <f t="shared" si="23"/>
        <v>84.889999999999986</v>
      </c>
      <c r="AB25" s="7" t="s">
        <v>70</v>
      </c>
      <c r="AC25" s="7" t="s">
        <v>71</v>
      </c>
    </row>
    <row r="26" spans="1:29" s="7" customFormat="1" ht="15" hidden="1" customHeight="1" x14ac:dyDescent="0.25">
      <c r="A26" s="4" t="s">
        <v>31</v>
      </c>
      <c r="B26" s="5">
        <v>26074335</v>
      </c>
      <c r="C26" s="6" t="s">
        <v>27</v>
      </c>
      <c r="D26" s="7" t="s">
        <v>35</v>
      </c>
      <c r="E26" s="8"/>
      <c r="F26" s="9">
        <v>3110009</v>
      </c>
      <c r="G26" s="9" t="s">
        <v>73</v>
      </c>
      <c r="H26" s="7" t="s">
        <v>50</v>
      </c>
      <c r="J26" s="6" t="s">
        <v>28</v>
      </c>
      <c r="K26" s="7">
        <v>3.456</v>
      </c>
      <c r="L26" s="7">
        <v>1192</v>
      </c>
      <c r="M26" s="8">
        <v>18</v>
      </c>
      <c r="N26" s="8">
        <f t="shared" si="18"/>
        <v>741.52</v>
      </c>
      <c r="O26" s="6">
        <v>4</v>
      </c>
      <c r="P26" s="6">
        <f t="shared" si="19"/>
        <v>164.78</v>
      </c>
      <c r="Q26" s="8">
        <f t="shared" si="20"/>
        <v>4119.55</v>
      </c>
      <c r="R26" s="8">
        <v>2</v>
      </c>
      <c r="S26" s="8">
        <f t="shared" si="21"/>
        <v>82.39</v>
      </c>
      <c r="V26" s="8">
        <v>0.5</v>
      </c>
      <c r="W26" s="7">
        <f t="shared" si="22"/>
        <v>25.13</v>
      </c>
      <c r="X26" s="8">
        <f t="shared" si="23"/>
        <v>4886.2</v>
      </c>
      <c r="AB26" s="7" t="s">
        <v>70</v>
      </c>
      <c r="AC26" s="7" t="s">
        <v>71</v>
      </c>
    </row>
    <row r="27" spans="1:29" s="7" customFormat="1" ht="15" hidden="1" customHeight="1" x14ac:dyDescent="0.25">
      <c r="A27" s="4" t="s">
        <v>31</v>
      </c>
      <c r="B27" s="5">
        <v>26074335</v>
      </c>
      <c r="C27" s="6" t="s">
        <v>27</v>
      </c>
      <c r="D27" s="7" t="s">
        <v>35</v>
      </c>
      <c r="E27" s="8"/>
      <c r="F27" s="9">
        <v>3110009</v>
      </c>
      <c r="G27" s="9" t="s">
        <v>73</v>
      </c>
      <c r="H27" s="7" t="s">
        <v>68</v>
      </c>
      <c r="J27" s="6" t="s">
        <v>28</v>
      </c>
      <c r="K27" s="7">
        <v>0.86399999999999999</v>
      </c>
      <c r="L27" s="7">
        <v>1192</v>
      </c>
      <c r="M27" s="8">
        <v>18</v>
      </c>
      <c r="N27" s="8">
        <f t="shared" si="18"/>
        <v>185.38</v>
      </c>
      <c r="O27" s="6">
        <v>4</v>
      </c>
      <c r="P27" s="6">
        <f t="shared" si="19"/>
        <v>41.2</v>
      </c>
      <c r="Q27" s="8">
        <f t="shared" si="20"/>
        <v>1029.8900000000001</v>
      </c>
      <c r="R27" s="8">
        <v>2</v>
      </c>
      <c r="S27" s="8">
        <f t="shared" si="21"/>
        <v>20.6</v>
      </c>
      <c r="V27" s="8">
        <v>0.5</v>
      </c>
      <c r="W27" s="7">
        <f t="shared" si="22"/>
        <v>6.28</v>
      </c>
      <c r="X27" s="8">
        <f t="shared" si="23"/>
        <v>1221.55</v>
      </c>
      <c r="AB27" s="7" t="s">
        <v>70</v>
      </c>
      <c r="AC27" s="7" t="s">
        <v>71</v>
      </c>
    </row>
    <row r="28" spans="1:29" s="7" customFormat="1" ht="15" hidden="1" customHeight="1" x14ac:dyDescent="0.25">
      <c r="A28" s="4" t="s">
        <v>31</v>
      </c>
      <c r="B28" s="5">
        <v>26074335</v>
      </c>
      <c r="C28" s="6" t="s">
        <v>27</v>
      </c>
      <c r="D28" s="7" t="s">
        <v>35</v>
      </c>
      <c r="E28" s="8"/>
      <c r="F28" s="9">
        <v>3110009</v>
      </c>
      <c r="G28" s="9" t="s">
        <v>73</v>
      </c>
      <c r="H28" s="7" t="s">
        <v>64</v>
      </c>
      <c r="J28" s="6" t="s">
        <v>28</v>
      </c>
      <c r="K28" s="7">
        <v>0.24</v>
      </c>
      <c r="L28" s="7">
        <v>1353</v>
      </c>
      <c r="M28" s="8">
        <v>18</v>
      </c>
      <c r="N28" s="8">
        <f t="shared" si="18"/>
        <v>58.45</v>
      </c>
      <c r="O28" s="6">
        <v>4</v>
      </c>
      <c r="P28" s="6">
        <f t="shared" si="19"/>
        <v>12.99</v>
      </c>
      <c r="Q28" s="8">
        <f t="shared" si="20"/>
        <v>324.72000000000003</v>
      </c>
      <c r="R28" s="8">
        <v>2</v>
      </c>
      <c r="S28" s="8">
        <f t="shared" si="21"/>
        <v>6.49</v>
      </c>
      <c r="V28" s="8">
        <v>0.5</v>
      </c>
      <c r="W28" s="7">
        <f t="shared" si="22"/>
        <v>1.98</v>
      </c>
      <c r="X28" s="8">
        <f t="shared" si="23"/>
        <v>385.15000000000003</v>
      </c>
      <c r="AB28" s="7" t="s">
        <v>70</v>
      </c>
      <c r="AC28" s="7" t="s">
        <v>71</v>
      </c>
    </row>
    <row r="29" spans="1:29" s="7" customFormat="1" ht="15" hidden="1" customHeight="1" x14ac:dyDescent="0.25">
      <c r="A29" s="4" t="s">
        <v>31</v>
      </c>
      <c r="B29" s="5">
        <v>26074335</v>
      </c>
      <c r="C29" s="6" t="s">
        <v>27</v>
      </c>
      <c r="D29" s="7" t="s">
        <v>35</v>
      </c>
      <c r="E29" s="8"/>
      <c r="F29" s="9">
        <v>3110009</v>
      </c>
      <c r="G29" s="9" t="s">
        <v>73</v>
      </c>
      <c r="H29" s="7" t="s">
        <v>37</v>
      </c>
      <c r="J29" s="6" t="s">
        <v>28</v>
      </c>
      <c r="K29" s="7">
        <v>3.6</v>
      </c>
      <c r="L29" s="7">
        <v>1195</v>
      </c>
      <c r="M29" s="8">
        <v>18</v>
      </c>
      <c r="N29" s="8">
        <f t="shared" si="18"/>
        <v>774.36</v>
      </c>
      <c r="O29" s="6">
        <v>4</v>
      </c>
      <c r="P29" s="6">
        <f t="shared" si="19"/>
        <v>172.08</v>
      </c>
      <c r="Q29" s="8">
        <f t="shared" si="20"/>
        <v>4302</v>
      </c>
      <c r="R29" s="8">
        <v>2</v>
      </c>
      <c r="S29" s="8">
        <f t="shared" si="21"/>
        <v>86.04</v>
      </c>
      <c r="V29" s="8">
        <v>0.5</v>
      </c>
      <c r="W29" s="7">
        <f t="shared" si="22"/>
        <v>26.24</v>
      </c>
      <c r="X29" s="8">
        <f t="shared" si="23"/>
        <v>5102.5999999999995</v>
      </c>
      <c r="AB29" s="7" t="s">
        <v>70</v>
      </c>
      <c r="AC29" s="7" t="s">
        <v>71</v>
      </c>
    </row>
    <row r="30" spans="1:29" s="7" customFormat="1" ht="15" hidden="1" customHeight="1" x14ac:dyDescent="0.25">
      <c r="A30" s="4" t="s">
        <v>31</v>
      </c>
      <c r="B30" s="5">
        <v>26074335</v>
      </c>
      <c r="C30" s="6" t="s">
        <v>27</v>
      </c>
      <c r="D30" s="7" t="s">
        <v>35</v>
      </c>
      <c r="E30" s="8"/>
      <c r="F30" s="9">
        <v>3110009</v>
      </c>
      <c r="G30" s="9" t="s">
        <v>73</v>
      </c>
      <c r="H30" s="7" t="s">
        <v>54</v>
      </c>
      <c r="J30" s="6" t="s">
        <v>28</v>
      </c>
      <c r="K30" s="7">
        <v>2.88</v>
      </c>
      <c r="L30" s="7">
        <v>1195</v>
      </c>
      <c r="M30" s="8">
        <v>18</v>
      </c>
      <c r="N30" s="8">
        <f t="shared" si="18"/>
        <v>619.49</v>
      </c>
      <c r="O30" s="6">
        <v>4</v>
      </c>
      <c r="P30" s="6">
        <f t="shared" si="19"/>
        <v>137.66</v>
      </c>
      <c r="Q30" s="8">
        <f t="shared" si="20"/>
        <v>3441.6</v>
      </c>
      <c r="R30" s="8">
        <v>2</v>
      </c>
      <c r="S30" s="8">
        <f t="shared" si="21"/>
        <v>68.83</v>
      </c>
      <c r="V30" s="8">
        <v>0.5</v>
      </c>
      <c r="W30" s="7">
        <f t="shared" si="22"/>
        <v>20.99</v>
      </c>
      <c r="X30" s="8">
        <f t="shared" si="23"/>
        <v>4082.08</v>
      </c>
      <c r="AB30" s="7" t="s">
        <v>70</v>
      </c>
      <c r="AC30" s="7" t="s">
        <v>71</v>
      </c>
    </row>
    <row r="31" spans="1:29" s="7" customFormat="1" ht="15" hidden="1" customHeight="1" x14ac:dyDescent="0.25">
      <c r="A31" s="4" t="s">
        <v>31</v>
      </c>
      <c r="B31" s="5">
        <v>26074335</v>
      </c>
      <c r="C31" s="6" t="s">
        <v>27</v>
      </c>
      <c r="D31" s="7" t="s">
        <v>35</v>
      </c>
      <c r="E31" s="8"/>
      <c r="F31" s="9">
        <v>3110009</v>
      </c>
      <c r="G31" s="9" t="s">
        <v>73</v>
      </c>
      <c r="H31" s="7" t="s">
        <v>38</v>
      </c>
      <c r="J31" s="6" t="s">
        <v>28</v>
      </c>
      <c r="K31" s="7">
        <v>3.6</v>
      </c>
      <c r="L31" s="7">
        <v>1115</v>
      </c>
      <c r="M31" s="8">
        <v>18</v>
      </c>
      <c r="N31" s="8">
        <f t="shared" si="18"/>
        <v>722.52</v>
      </c>
      <c r="O31" s="6">
        <v>4</v>
      </c>
      <c r="P31" s="6">
        <f t="shared" si="19"/>
        <v>160.56</v>
      </c>
      <c r="Q31" s="8">
        <f t="shared" si="20"/>
        <v>4014</v>
      </c>
      <c r="R31" s="8">
        <v>2</v>
      </c>
      <c r="S31" s="8">
        <f t="shared" si="21"/>
        <v>80.28</v>
      </c>
      <c r="V31" s="8">
        <v>0.5</v>
      </c>
      <c r="W31" s="7">
        <f t="shared" si="22"/>
        <v>24.49</v>
      </c>
      <c r="X31" s="8">
        <f t="shared" si="23"/>
        <v>4761.01</v>
      </c>
      <c r="AB31" s="7" t="s">
        <v>70</v>
      </c>
      <c r="AC31" s="7" t="s">
        <v>71</v>
      </c>
    </row>
    <row r="32" spans="1:29" s="7" customFormat="1" ht="15" hidden="1" customHeight="1" x14ac:dyDescent="0.25">
      <c r="A32" s="4" t="s">
        <v>31</v>
      </c>
      <c r="B32" s="5">
        <v>26074335</v>
      </c>
      <c r="C32" s="6" t="s">
        <v>27</v>
      </c>
      <c r="D32" s="7" t="s">
        <v>35</v>
      </c>
      <c r="E32" s="8"/>
      <c r="F32" s="9">
        <v>3110009</v>
      </c>
      <c r="G32" s="9" t="s">
        <v>73</v>
      </c>
      <c r="H32" s="7" t="s">
        <v>55</v>
      </c>
      <c r="J32" s="6" t="s">
        <v>28</v>
      </c>
      <c r="K32" s="7">
        <v>4.32</v>
      </c>
      <c r="L32" s="7">
        <v>1199</v>
      </c>
      <c r="M32" s="8">
        <v>18</v>
      </c>
      <c r="N32" s="8">
        <f t="shared" si="18"/>
        <v>932.34</v>
      </c>
      <c r="O32" s="6">
        <v>4</v>
      </c>
      <c r="P32" s="6">
        <f t="shared" si="19"/>
        <v>207.19</v>
      </c>
      <c r="Q32" s="8">
        <f t="shared" si="20"/>
        <v>5179.68</v>
      </c>
      <c r="R32" s="8">
        <v>2</v>
      </c>
      <c r="S32" s="8">
        <f t="shared" si="21"/>
        <v>103.59</v>
      </c>
      <c r="V32" s="8">
        <v>0.5</v>
      </c>
      <c r="W32" s="7">
        <f t="shared" si="22"/>
        <v>31.6</v>
      </c>
      <c r="X32" s="8">
        <f t="shared" si="23"/>
        <v>6143.6200000000008</v>
      </c>
      <c r="AB32" s="7" t="s">
        <v>70</v>
      </c>
      <c r="AC32" s="7" t="s">
        <v>71</v>
      </c>
    </row>
    <row r="33" spans="1:29" s="7" customFormat="1" ht="15" hidden="1" customHeight="1" x14ac:dyDescent="0.25">
      <c r="A33" s="4" t="s">
        <v>31</v>
      </c>
      <c r="B33" s="5">
        <v>26074335</v>
      </c>
      <c r="C33" s="6" t="s">
        <v>27</v>
      </c>
      <c r="D33" s="7" t="s">
        <v>35</v>
      </c>
      <c r="E33" s="8"/>
      <c r="F33" s="9">
        <v>3110009</v>
      </c>
      <c r="G33" s="9" t="s">
        <v>73</v>
      </c>
      <c r="H33" s="7" t="s">
        <v>56</v>
      </c>
      <c r="J33" s="6" t="s">
        <v>28</v>
      </c>
      <c r="K33" s="7">
        <v>3.36</v>
      </c>
      <c r="L33" s="7">
        <v>1032</v>
      </c>
      <c r="M33" s="8">
        <v>18</v>
      </c>
      <c r="N33" s="8">
        <f t="shared" si="18"/>
        <v>624.15</v>
      </c>
      <c r="O33" s="6">
        <v>4</v>
      </c>
      <c r="P33" s="6">
        <f t="shared" si="19"/>
        <v>138.69999999999999</v>
      </c>
      <c r="Q33" s="8">
        <f t="shared" si="20"/>
        <v>3467.52</v>
      </c>
      <c r="R33" s="8">
        <v>2</v>
      </c>
      <c r="S33" s="8">
        <f t="shared" si="21"/>
        <v>69.349999999999994</v>
      </c>
      <c r="V33" s="8">
        <v>0.5</v>
      </c>
      <c r="W33" s="7">
        <f t="shared" si="22"/>
        <v>21.15</v>
      </c>
      <c r="X33" s="8">
        <f t="shared" si="23"/>
        <v>4112.82</v>
      </c>
      <c r="AB33" s="7" t="s">
        <v>70</v>
      </c>
      <c r="AC33" s="7" t="s">
        <v>71</v>
      </c>
    </row>
    <row r="34" spans="1:29" s="7" customFormat="1" ht="15" hidden="1" customHeight="1" x14ac:dyDescent="0.25">
      <c r="A34" s="4" t="s">
        <v>31</v>
      </c>
      <c r="B34" s="5">
        <v>26074335</v>
      </c>
      <c r="C34" s="6" t="s">
        <v>27</v>
      </c>
      <c r="D34" s="7" t="s">
        <v>35</v>
      </c>
      <c r="E34" s="8"/>
      <c r="F34" s="9">
        <v>3110009</v>
      </c>
      <c r="G34" s="9" t="s">
        <v>72</v>
      </c>
      <c r="H34" s="7" t="s">
        <v>47</v>
      </c>
      <c r="J34" s="6" t="s">
        <v>28</v>
      </c>
      <c r="K34" s="7">
        <v>3.157</v>
      </c>
      <c r="L34" s="7">
        <v>1327</v>
      </c>
      <c r="M34" s="8">
        <v>18</v>
      </c>
      <c r="N34" s="8">
        <f t="shared" ref="N34:N51" si="24">ROUND(K34*L34*(M34%),2)</f>
        <v>754.08</v>
      </c>
      <c r="O34" s="6">
        <v>4</v>
      </c>
      <c r="P34" s="6">
        <f t="shared" ref="P34:P51" si="25">ROUND(K34*L34*(O34%),2)</f>
        <v>167.57</v>
      </c>
      <c r="Q34" s="8">
        <f t="shared" ref="Q34:Q51" si="26">ROUND(K34*L34,2)</f>
        <v>4189.34</v>
      </c>
      <c r="R34" s="8">
        <v>2</v>
      </c>
      <c r="S34" s="8">
        <f t="shared" ref="S34:S51" si="27">ROUND(Q34*R34%,2)</f>
        <v>83.79</v>
      </c>
      <c r="V34" s="8">
        <v>0.5</v>
      </c>
      <c r="W34" s="7">
        <f t="shared" ref="W34:W51" si="28">ROUND(SUM(Q34+P34+N34)*V34%,2)</f>
        <v>25.55</v>
      </c>
      <c r="X34" s="8">
        <f t="shared" ref="X34:X51" si="29">Q34+N34+W34</f>
        <v>4968.97</v>
      </c>
      <c r="AB34" s="7" t="s">
        <v>70</v>
      </c>
      <c r="AC34" s="7" t="s">
        <v>71</v>
      </c>
    </row>
    <row r="35" spans="1:29" s="7" customFormat="1" ht="15" hidden="1" customHeight="1" x14ac:dyDescent="0.25">
      <c r="A35" s="4" t="s">
        <v>31</v>
      </c>
      <c r="B35" s="5">
        <v>26074335</v>
      </c>
      <c r="C35" s="6" t="s">
        <v>27</v>
      </c>
      <c r="D35" s="7" t="s">
        <v>35</v>
      </c>
      <c r="E35" s="8"/>
      <c r="F35" s="9">
        <v>3110009</v>
      </c>
      <c r="G35" s="9" t="s">
        <v>72</v>
      </c>
      <c r="H35" s="7" t="s">
        <v>67</v>
      </c>
      <c r="J35" s="6" t="s">
        <v>28</v>
      </c>
      <c r="K35" s="7">
        <v>3.24</v>
      </c>
      <c r="L35" s="7">
        <v>1209</v>
      </c>
      <c r="M35" s="8">
        <v>18</v>
      </c>
      <c r="N35" s="8">
        <f t="shared" si="24"/>
        <v>705.09</v>
      </c>
      <c r="O35" s="6">
        <v>4</v>
      </c>
      <c r="P35" s="6">
        <f t="shared" si="25"/>
        <v>156.69</v>
      </c>
      <c r="Q35" s="8">
        <f t="shared" si="26"/>
        <v>3917.16</v>
      </c>
      <c r="R35" s="8">
        <v>2</v>
      </c>
      <c r="S35" s="8">
        <f t="shared" si="27"/>
        <v>78.34</v>
      </c>
      <c r="V35" s="8">
        <v>0.5</v>
      </c>
      <c r="W35" s="7">
        <f t="shared" si="28"/>
        <v>23.89</v>
      </c>
      <c r="X35" s="8">
        <f t="shared" si="29"/>
        <v>4646.1400000000003</v>
      </c>
      <c r="AB35" s="7" t="s">
        <v>70</v>
      </c>
      <c r="AC35" s="7" t="s">
        <v>71</v>
      </c>
    </row>
    <row r="36" spans="1:29" s="7" customFormat="1" ht="15" hidden="1" customHeight="1" x14ac:dyDescent="0.25">
      <c r="A36" s="4" t="s">
        <v>31</v>
      </c>
      <c r="B36" s="5">
        <v>26074335</v>
      </c>
      <c r="C36" s="6" t="s">
        <v>27</v>
      </c>
      <c r="D36" s="7" t="s">
        <v>35</v>
      </c>
      <c r="E36" s="8"/>
      <c r="F36" s="9">
        <v>3110009</v>
      </c>
      <c r="G36" s="9" t="s">
        <v>72</v>
      </c>
      <c r="H36" s="7" t="s">
        <v>65</v>
      </c>
      <c r="J36" s="6" t="s">
        <v>28</v>
      </c>
      <c r="K36" s="7">
        <v>8.7999999999999995E-2</v>
      </c>
      <c r="L36" s="7">
        <v>1311</v>
      </c>
      <c r="M36" s="8">
        <v>18</v>
      </c>
      <c r="N36" s="8">
        <f t="shared" si="24"/>
        <v>20.77</v>
      </c>
      <c r="O36" s="6">
        <v>4</v>
      </c>
      <c r="P36" s="6">
        <f t="shared" si="25"/>
        <v>4.6100000000000003</v>
      </c>
      <c r="Q36" s="8">
        <f t="shared" si="26"/>
        <v>115.37</v>
      </c>
      <c r="R36" s="8">
        <v>2</v>
      </c>
      <c r="S36" s="8">
        <f t="shared" si="27"/>
        <v>2.31</v>
      </c>
      <c r="V36" s="8">
        <v>0.5</v>
      </c>
      <c r="W36" s="7">
        <f t="shared" si="28"/>
        <v>0.7</v>
      </c>
      <c r="X36" s="8">
        <f t="shared" si="29"/>
        <v>136.84</v>
      </c>
      <c r="AB36" s="7" t="s">
        <v>70</v>
      </c>
      <c r="AC36" s="7" t="s">
        <v>71</v>
      </c>
    </row>
    <row r="37" spans="1:29" s="7" customFormat="1" ht="15" hidden="1" customHeight="1" x14ac:dyDescent="0.25">
      <c r="A37" s="4" t="s">
        <v>31</v>
      </c>
      <c r="B37" s="5">
        <v>26074335</v>
      </c>
      <c r="C37" s="6" t="s">
        <v>27</v>
      </c>
      <c r="D37" s="7" t="s">
        <v>35</v>
      </c>
      <c r="E37" s="8"/>
      <c r="F37" s="9">
        <v>3110009</v>
      </c>
      <c r="G37" s="9" t="s">
        <v>72</v>
      </c>
      <c r="H37" s="7" t="s">
        <v>57</v>
      </c>
      <c r="J37" s="6" t="s">
        <v>28</v>
      </c>
      <c r="K37" s="7">
        <v>3.2639999999999998</v>
      </c>
      <c r="L37" s="7">
        <v>854</v>
      </c>
      <c r="M37" s="8">
        <v>18</v>
      </c>
      <c r="N37" s="8">
        <f t="shared" si="24"/>
        <v>501.74</v>
      </c>
      <c r="O37" s="6">
        <v>4</v>
      </c>
      <c r="P37" s="6">
        <f t="shared" si="25"/>
        <v>111.5</v>
      </c>
      <c r="Q37" s="8">
        <f t="shared" si="26"/>
        <v>2787.46</v>
      </c>
      <c r="R37" s="8">
        <v>2</v>
      </c>
      <c r="S37" s="8">
        <f t="shared" si="27"/>
        <v>55.75</v>
      </c>
      <c r="V37" s="8">
        <v>0.5</v>
      </c>
      <c r="W37" s="7">
        <f t="shared" si="28"/>
        <v>17</v>
      </c>
      <c r="X37" s="8">
        <f t="shared" si="29"/>
        <v>3306.2</v>
      </c>
      <c r="AB37" s="7" t="s">
        <v>70</v>
      </c>
      <c r="AC37" s="7" t="s">
        <v>71</v>
      </c>
    </row>
    <row r="38" spans="1:29" s="7" customFormat="1" ht="15" hidden="1" customHeight="1" x14ac:dyDescent="0.25">
      <c r="A38" s="4" t="s">
        <v>31</v>
      </c>
      <c r="B38" s="5">
        <v>26074335</v>
      </c>
      <c r="C38" s="6" t="s">
        <v>27</v>
      </c>
      <c r="D38" s="7" t="s">
        <v>35</v>
      </c>
      <c r="E38" s="8"/>
      <c r="F38" s="9">
        <v>3110009</v>
      </c>
      <c r="G38" s="9" t="s">
        <v>72</v>
      </c>
      <c r="H38" s="7" t="s">
        <v>39</v>
      </c>
      <c r="J38" s="6" t="s">
        <v>28</v>
      </c>
      <c r="K38" s="7">
        <v>6.72</v>
      </c>
      <c r="L38" s="7">
        <v>777</v>
      </c>
      <c r="M38" s="8">
        <v>18</v>
      </c>
      <c r="N38" s="8">
        <f t="shared" si="24"/>
        <v>939.86</v>
      </c>
      <c r="O38" s="6">
        <v>4</v>
      </c>
      <c r="P38" s="6">
        <f t="shared" si="25"/>
        <v>208.86</v>
      </c>
      <c r="Q38" s="8">
        <f t="shared" si="26"/>
        <v>5221.4399999999996</v>
      </c>
      <c r="R38" s="8">
        <v>2</v>
      </c>
      <c r="S38" s="8">
        <f t="shared" si="27"/>
        <v>104.43</v>
      </c>
      <c r="V38" s="8">
        <v>0.5</v>
      </c>
      <c r="W38" s="7">
        <f t="shared" si="28"/>
        <v>31.85</v>
      </c>
      <c r="X38" s="8">
        <f t="shared" si="29"/>
        <v>6193.15</v>
      </c>
      <c r="AB38" s="7" t="s">
        <v>70</v>
      </c>
      <c r="AC38" s="7" t="s">
        <v>71</v>
      </c>
    </row>
    <row r="39" spans="1:29" s="7" customFormat="1" ht="15" hidden="1" customHeight="1" x14ac:dyDescent="0.25">
      <c r="A39" s="4" t="s">
        <v>31</v>
      </c>
      <c r="B39" s="5">
        <v>26074335</v>
      </c>
      <c r="C39" s="6" t="s">
        <v>27</v>
      </c>
      <c r="D39" s="7" t="s">
        <v>35</v>
      </c>
      <c r="E39" s="8"/>
      <c r="F39" s="9">
        <v>3110009</v>
      </c>
      <c r="G39" s="9" t="s">
        <v>72</v>
      </c>
      <c r="H39" s="7" t="s">
        <v>40</v>
      </c>
      <c r="J39" s="6" t="s">
        <v>28</v>
      </c>
      <c r="K39" s="7">
        <v>6.72</v>
      </c>
      <c r="L39" s="7">
        <v>777</v>
      </c>
      <c r="M39" s="8">
        <v>18</v>
      </c>
      <c r="N39" s="8">
        <f t="shared" si="24"/>
        <v>939.86</v>
      </c>
      <c r="O39" s="6">
        <v>4</v>
      </c>
      <c r="P39" s="6">
        <f t="shared" si="25"/>
        <v>208.86</v>
      </c>
      <c r="Q39" s="8">
        <f t="shared" si="26"/>
        <v>5221.4399999999996</v>
      </c>
      <c r="R39" s="8">
        <v>2</v>
      </c>
      <c r="S39" s="8">
        <f t="shared" si="27"/>
        <v>104.43</v>
      </c>
      <c r="V39" s="8">
        <v>0.5</v>
      </c>
      <c r="W39" s="7">
        <f t="shared" si="28"/>
        <v>31.85</v>
      </c>
      <c r="X39" s="8">
        <f t="shared" si="29"/>
        <v>6193.15</v>
      </c>
      <c r="AB39" s="7" t="s">
        <v>70</v>
      </c>
      <c r="AC39" s="7" t="s">
        <v>71</v>
      </c>
    </row>
    <row r="40" spans="1:29" s="7" customFormat="1" ht="15" hidden="1" customHeight="1" x14ac:dyDescent="0.25">
      <c r="A40" s="4" t="s">
        <v>31</v>
      </c>
      <c r="B40" s="5">
        <v>26074335</v>
      </c>
      <c r="C40" s="6" t="s">
        <v>27</v>
      </c>
      <c r="D40" s="7" t="s">
        <v>35</v>
      </c>
      <c r="E40" s="8"/>
      <c r="F40" s="9">
        <v>3110009</v>
      </c>
      <c r="G40" s="9" t="s">
        <v>72</v>
      </c>
      <c r="H40" s="7" t="s">
        <v>58</v>
      </c>
      <c r="J40" s="6" t="s">
        <v>28</v>
      </c>
      <c r="K40" s="7">
        <v>6.72</v>
      </c>
      <c r="L40" s="7">
        <v>777</v>
      </c>
      <c r="M40" s="8">
        <v>18</v>
      </c>
      <c r="N40" s="8">
        <f t="shared" si="24"/>
        <v>939.86</v>
      </c>
      <c r="O40" s="6">
        <v>4</v>
      </c>
      <c r="P40" s="6">
        <f t="shared" si="25"/>
        <v>208.86</v>
      </c>
      <c r="Q40" s="8">
        <f t="shared" si="26"/>
        <v>5221.4399999999996</v>
      </c>
      <c r="R40" s="8">
        <v>2</v>
      </c>
      <c r="S40" s="8">
        <f t="shared" si="27"/>
        <v>104.43</v>
      </c>
      <c r="V40" s="8">
        <v>0.5</v>
      </c>
      <c r="W40" s="7">
        <f t="shared" si="28"/>
        <v>31.85</v>
      </c>
      <c r="X40" s="8">
        <f t="shared" si="29"/>
        <v>6193.15</v>
      </c>
      <c r="AB40" s="7" t="s">
        <v>70</v>
      </c>
      <c r="AC40" s="7" t="s">
        <v>71</v>
      </c>
    </row>
    <row r="41" spans="1:29" s="7" customFormat="1" ht="15" hidden="1" customHeight="1" x14ac:dyDescent="0.25">
      <c r="A41" s="4" t="s">
        <v>31</v>
      </c>
      <c r="B41" s="5">
        <v>26074335</v>
      </c>
      <c r="C41" s="6" t="s">
        <v>27</v>
      </c>
      <c r="D41" s="7" t="s">
        <v>35</v>
      </c>
      <c r="E41" s="8"/>
      <c r="F41" s="9">
        <v>3110009</v>
      </c>
      <c r="G41" s="9" t="s">
        <v>72</v>
      </c>
      <c r="H41" s="7" t="s">
        <v>59</v>
      </c>
      <c r="J41" s="6" t="s">
        <v>28</v>
      </c>
      <c r="K41" s="7">
        <v>8.2000000000000003E-2</v>
      </c>
      <c r="L41" s="7">
        <v>884</v>
      </c>
      <c r="M41" s="8">
        <v>18</v>
      </c>
      <c r="N41" s="8">
        <f t="shared" si="24"/>
        <v>13.05</v>
      </c>
      <c r="O41" s="6">
        <v>4</v>
      </c>
      <c r="P41" s="6">
        <f t="shared" si="25"/>
        <v>2.9</v>
      </c>
      <c r="Q41" s="8">
        <f t="shared" si="26"/>
        <v>72.489999999999995</v>
      </c>
      <c r="R41" s="8">
        <v>2</v>
      </c>
      <c r="S41" s="8">
        <f t="shared" si="27"/>
        <v>1.45</v>
      </c>
      <c r="V41" s="8">
        <v>0.5</v>
      </c>
      <c r="W41" s="7">
        <f t="shared" si="28"/>
        <v>0.44</v>
      </c>
      <c r="X41" s="8">
        <f t="shared" si="29"/>
        <v>85.97999999999999</v>
      </c>
      <c r="AB41" s="7" t="s">
        <v>70</v>
      </c>
      <c r="AC41" s="7" t="s">
        <v>71</v>
      </c>
    </row>
    <row r="42" spans="1:29" s="7" customFormat="1" ht="15" hidden="1" customHeight="1" x14ac:dyDescent="0.25">
      <c r="A42" s="4" t="s">
        <v>31</v>
      </c>
      <c r="B42" s="5">
        <v>26074335</v>
      </c>
      <c r="C42" s="6" t="s">
        <v>27</v>
      </c>
      <c r="D42" s="7" t="s">
        <v>35</v>
      </c>
      <c r="E42" s="8"/>
      <c r="F42" s="9">
        <v>3110009</v>
      </c>
      <c r="G42" s="9" t="s">
        <v>72</v>
      </c>
      <c r="H42" s="7" t="s">
        <v>60</v>
      </c>
      <c r="J42" s="6" t="s">
        <v>28</v>
      </c>
      <c r="K42" s="7">
        <v>1.488</v>
      </c>
      <c r="L42" s="7">
        <v>1167</v>
      </c>
      <c r="M42" s="8">
        <v>18</v>
      </c>
      <c r="N42" s="8">
        <f t="shared" si="24"/>
        <v>312.57</v>
      </c>
      <c r="O42" s="6">
        <v>4</v>
      </c>
      <c r="P42" s="6">
        <f t="shared" si="25"/>
        <v>69.459999999999994</v>
      </c>
      <c r="Q42" s="8">
        <f t="shared" si="26"/>
        <v>1736.5</v>
      </c>
      <c r="R42" s="8">
        <v>2</v>
      </c>
      <c r="S42" s="8">
        <f t="shared" si="27"/>
        <v>34.729999999999997</v>
      </c>
      <c r="V42" s="8">
        <v>0.5</v>
      </c>
      <c r="W42" s="7">
        <f t="shared" si="28"/>
        <v>10.59</v>
      </c>
      <c r="X42" s="8">
        <f t="shared" si="29"/>
        <v>2059.6600000000003</v>
      </c>
      <c r="AB42" s="7" t="s">
        <v>70</v>
      </c>
      <c r="AC42" s="7" t="s">
        <v>71</v>
      </c>
    </row>
    <row r="43" spans="1:29" s="7" customFormat="1" ht="15" hidden="1" customHeight="1" x14ac:dyDescent="0.25">
      <c r="A43" s="4" t="s">
        <v>31</v>
      </c>
      <c r="B43" s="5">
        <v>26074335</v>
      </c>
      <c r="C43" s="6" t="s">
        <v>27</v>
      </c>
      <c r="D43" s="7" t="s">
        <v>35</v>
      </c>
      <c r="E43" s="8"/>
      <c r="F43" s="9">
        <v>3110009</v>
      </c>
      <c r="G43" s="9" t="s">
        <v>72</v>
      </c>
      <c r="H43" s="7" t="s">
        <v>41</v>
      </c>
      <c r="J43" s="6" t="s">
        <v>28</v>
      </c>
      <c r="K43" s="7">
        <v>5.44</v>
      </c>
      <c r="L43" s="7">
        <v>854</v>
      </c>
      <c r="M43" s="8">
        <v>18</v>
      </c>
      <c r="N43" s="8">
        <f t="shared" si="24"/>
        <v>836.24</v>
      </c>
      <c r="O43" s="6">
        <v>4</v>
      </c>
      <c r="P43" s="6">
        <f t="shared" si="25"/>
        <v>185.83</v>
      </c>
      <c r="Q43" s="8">
        <f t="shared" si="26"/>
        <v>4645.76</v>
      </c>
      <c r="R43" s="8">
        <v>2</v>
      </c>
      <c r="S43" s="8">
        <f t="shared" si="27"/>
        <v>92.92</v>
      </c>
      <c r="V43" s="8">
        <v>0.5</v>
      </c>
      <c r="W43" s="7">
        <f t="shared" si="28"/>
        <v>28.34</v>
      </c>
      <c r="X43" s="8">
        <f t="shared" si="29"/>
        <v>5510.34</v>
      </c>
      <c r="AB43" s="7" t="s">
        <v>70</v>
      </c>
      <c r="AC43" s="7" t="s">
        <v>71</v>
      </c>
    </row>
    <row r="44" spans="1:29" s="7" customFormat="1" ht="15" hidden="1" customHeight="1" x14ac:dyDescent="0.25">
      <c r="A44" s="4" t="s">
        <v>31</v>
      </c>
      <c r="B44" s="5">
        <v>26074335</v>
      </c>
      <c r="C44" s="6" t="s">
        <v>27</v>
      </c>
      <c r="D44" s="7" t="s">
        <v>35</v>
      </c>
      <c r="E44" s="8"/>
      <c r="F44" s="9">
        <v>3110009</v>
      </c>
      <c r="G44" s="9" t="s">
        <v>72</v>
      </c>
      <c r="H44" s="7" t="s">
        <v>42</v>
      </c>
      <c r="J44" s="6" t="s">
        <v>28</v>
      </c>
      <c r="K44" s="7">
        <v>5.44</v>
      </c>
      <c r="L44" s="7">
        <v>854</v>
      </c>
      <c r="M44" s="8">
        <v>18</v>
      </c>
      <c r="N44" s="8">
        <f t="shared" si="24"/>
        <v>836.24</v>
      </c>
      <c r="O44" s="6">
        <v>4</v>
      </c>
      <c r="P44" s="6">
        <f t="shared" si="25"/>
        <v>185.83</v>
      </c>
      <c r="Q44" s="8">
        <f t="shared" si="26"/>
        <v>4645.76</v>
      </c>
      <c r="R44" s="8">
        <v>2</v>
      </c>
      <c r="S44" s="8">
        <f t="shared" si="27"/>
        <v>92.92</v>
      </c>
      <c r="V44" s="8">
        <v>0.5</v>
      </c>
      <c r="W44" s="7">
        <f t="shared" si="28"/>
        <v>28.34</v>
      </c>
      <c r="X44" s="8">
        <f t="shared" si="29"/>
        <v>5510.34</v>
      </c>
      <c r="AB44" s="7" t="s">
        <v>70</v>
      </c>
      <c r="AC44" s="7" t="s">
        <v>71</v>
      </c>
    </row>
    <row r="45" spans="1:29" s="7" customFormat="1" ht="15" hidden="1" customHeight="1" x14ac:dyDescent="0.25">
      <c r="A45" s="4" t="s">
        <v>31</v>
      </c>
      <c r="B45" s="5">
        <v>26074335</v>
      </c>
      <c r="C45" s="6" t="s">
        <v>27</v>
      </c>
      <c r="D45" s="7" t="s">
        <v>35</v>
      </c>
      <c r="E45" s="8"/>
      <c r="F45" s="9">
        <v>3110009</v>
      </c>
      <c r="G45" s="9" t="s">
        <v>73</v>
      </c>
      <c r="H45" s="7" t="s">
        <v>69</v>
      </c>
      <c r="J45" s="6" t="s">
        <v>28</v>
      </c>
      <c r="K45" s="7">
        <v>3.6</v>
      </c>
      <c r="L45" s="7">
        <v>1199</v>
      </c>
      <c r="M45" s="8">
        <v>18</v>
      </c>
      <c r="N45" s="8">
        <f t="shared" si="24"/>
        <v>776.95</v>
      </c>
      <c r="O45" s="6">
        <v>4</v>
      </c>
      <c r="P45" s="6">
        <f t="shared" si="25"/>
        <v>172.66</v>
      </c>
      <c r="Q45" s="8">
        <f t="shared" si="26"/>
        <v>4316.3999999999996</v>
      </c>
      <c r="R45" s="8">
        <v>2</v>
      </c>
      <c r="S45" s="8">
        <f t="shared" si="27"/>
        <v>86.33</v>
      </c>
      <c r="V45" s="8">
        <v>0.5</v>
      </c>
      <c r="W45" s="7">
        <f t="shared" si="28"/>
        <v>26.33</v>
      </c>
      <c r="X45" s="8">
        <f t="shared" si="29"/>
        <v>5119.6799999999994</v>
      </c>
      <c r="AB45" s="7" t="s">
        <v>70</v>
      </c>
      <c r="AC45" s="7" t="s">
        <v>71</v>
      </c>
    </row>
    <row r="46" spans="1:29" s="7" customFormat="1" ht="15" hidden="1" customHeight="1" x14ac:dyDescent="0.25">
      <c r="A46" s="4" t="s">
        <v>31</v>
      </c>
      <c r="B46" s="5">
        <v>26074335</v>
      </c>
      <c r="C46" s="6" t="s">
        <v>27</v>
      </c>
      <c r="D46" s="7" t="s">
        <v>35</v>
      </c>
      <c r="E46" s="8"/>
      <c r="F46" s="9">
        <v>3110009</v>
      </c>
      <c r="G46" s="9" t="s">
        <v>73</v>
      </c>
      <c r="H46" s="7" t="s">
        <v>66</v>
      </c>
      <c r="J46" s="6" t="s">
        <v>28</v>
      </c>
      <c r="K46" s="7">
        <v>2.88</v>
      </c>
      <c r="L46" s="7">
        <v>1108</v>
      </c>
      <c r="M46" s="8">
        <v>18</v>
      </c>
      <c r="N46" s="8">
        <f t="shared" si="24"/>
        <v>574.39</v>
      </c>
      <c r="O46" s="6">
        <v>4</v>
      </c>
      <c r="P46" s="6">
        <f t="shared" si="25"/>
        <v>127.64</v>
      </c>
      <c r="Q46" s="8">
        <f t="shared" si="26"/>
        <v>3191.04</v>
      </c>
      <c r="R46" s="8">
        <v>2</v>
      </c>
      <c r="S46" s="8">
        <f t="shared" si="27"/>
        <v>63.82</v>
      </c>
      <c r="V46" s="8">
        <v>0.5</v>
      </c>
      <c r="W46" s="7">
        <f t="shared" si="28"/>
        <v>19.47</v>
      </c>
      <c r="X46" s="8">
        <f t="shared" si="29"/>
        <v>3784.8999999999996</v>
      </c>
      <c r="AB46" s="7" t="s">
        <v>70</v>
      </c>
      <c r="AC46" s="7" t="s">
        <v>71</v>
      </c>
    </row>
    <row r="47" spans="1:29" s="7" customFormat="1" ht="15" hidden="1" customHeight="1" x14ac:dyDescent="0.25">
      <c r="A47" s="4" t="s">
        <v>31</v>
      </c>
      <c r="B47" s="5">
        <v>26074335</v>
      </c>
      <c r="C47" s="6" t="s">
        <v>27</v>
      </c>
      <c r="D47" s="7" t="s">
        <v>35</v>
      </c>
      <c r="E47" s="8"/>
      <c r="F47" s="9">
        <v>3110009</v>
      </c>
      <c r="G47" s="9" t="s">
        <v>73</v>
      </c>
      <c r="H47" s="7" t="s">
        <v>62</v>
      </c>
      <c r="J47" s="6" t="s">
        <v>28</v>
      </c>
      <c r="K47" s="7">
        <v>0.57599999999999996</v>
      </c>
      <c r="L47" s="7">
        <v>1385</v>
      </c>
      <c r="M47" s="8">
        <v>18</v>
      </c>
      <c r="N47" s="8">
        <f t="shared" si="24"/>
        <v>143.6</v>
      </c>
      <c r="O47" s="6">
        <v>4</v>
      </c>
      <c r="P47" s="6">
        <f t="shared" si="25"/>
        <v>31.91</v>
      </c>
      <c r="Q47" s="8">
        <f t="shared" si="26"/>
        <v>797.76</v>
      </c>
      <c r="R47" s="8">
        <v>2</v>
      </c>
      <c r="S47" s="8">
        <f t="shared" si="27"/>
        <v>15.96</v>
      </c>
      <c r="V47" s="8">
        <v>0.5</v>
      </c>
      <c r="W47" s="7">
        <f t="shared" si="28"/>
        <v>4.87</v>
      </c>
      <c r="X47" s="8">
        <f t="shared" si="29"/>
        <v>946.23</v>
      </c>
      <c r="AB47" s="7" t="s">
        <v>70</v>
      </c>
      <c r="AC47" s="7" t="s">
        <v>71</v>
      </c>
    </row>
    <row r="48" spans="1:29" s="7" customFormat="1" ht="15" hidden="1" customHeight="1" x14ac:dyDescent="0.25">
      <c r="A48" s="4" t="s">
        <v>31</v>
      </c>
      <c r="B48" s="5">
        <v>26074335</v>
      </c>
      <c r="C48" s="6" t="s">
        <v>27</v>
      </c>
      <c r="D48" s="7" t="s">
        <v>35</v>
      </c>
      <c r="E48" s="8"/>
      <c r="F48" s="9">
        <v>3110009</v>
      </c>
      <c r="G48" s="9" t="s">
        <v>73</v>
      </c>
      <c r="H48" s="7" t="s">
        <v>63</v>
      </c>
      <c r="J48" s="6" t="s">
        <v>28</v>
      </c>
      <c r="K48" s="7">
        <v>0.57599999999999996</v>
      </c>
      <c r="L48" s="7">
        <v>1385</v>
      </c>
      <c r="M48" s="8">
        <v>18</v>
      </c>
      <c r="N48" s="8">
        <f t="shared" si="24"/>
        <v>143.6</v>
      </c>
      <c r="O48" s="6">
        <v>4</v>
      </c>
      <c r="P48" s="6">
        <f t="shared" si="25"/>
        <v>31.91</v>
      </c>
      <c r="Q48" s="8">
        <f t="shared" si="26"/>
        <v>797.76</v>
      </c>
      <c r="R48" s="8">
        <v>2</v>
      </c>
      <c r="S48" s="8">
        <f t="shared" si="27"/>
        <v>15.96</v>
      </c>
      <c r="V48" s="8">
        <v>0.5</v>
      </c>
      <c r="W48" s="7">
        <f t="shared" si="28"/>
        <v>4.87</v>
      </c>
      <c r="X48" s="8">
        <f t="shared" si="29"/>
        <v>946.23</v>
      </c>
      <c r="AB48" s="7" t="s">
        <v>70</v>
      </c>
      <c r="AC48" s="7" t="s">
        <v>71</v>
      </c>
    </row>
    <row r="49" spans="1:29" s="7" customFormat="1" ht="15" hidden="1" customHeight="1" x14ac:dyDescent="0.25">
      <c r="A49" s="4" t="s">
        <v>31</v>
      </c>
      <c r="B49" s="5">
        <v>26074335</v>
      </c>
      <c r="C49" s="6" t="s">
        <v>27</v>
      </c>
      <c r="D49" s="7" t="s">
        <v>35</v>
      </c>
      <c r="E49" s="8"/>
      <c r="F49" s="9">
        <v>3110009</v>
      </c>
      <c r="G49" s="9" t="s">
        <v>73</v>
      </c>
      <c r="H49" s="7" t="s">
        <v>43</v>
      </c>
      <c r="J49" s="6" t="s">
        <v>28</v>
      </c>
      <c r="K49" s="7">
        <v>6.2640000000000002</v>
      </c>
      <c r="L49" s="7">
        <v>1236</v>
      </c>
      <c r="M49" s="8">
        <v>18</v>
      </c>
      <c r="N49" s="8">
        <f t="shared" si="24"/>
        <v>1393.61</v>
      </c>
      <c r="O49" s="6">
        <v>4</v>
      </c>
      <c r="P49" s="6">
        <f t="shared" si="25"/>
        <v>309.69</v>
      </c>
      <c r="Q49" s="8">
        <f t="shared" si="26"/>
        <v>7742.3</v>
      </c>
      <c r="R49" s="8">
        <v>2</v>
      </c>
      <c r="S49" s="8">
        <f t="shared" si="27"/>
        <v>154.85</v>
      </c>
      <c r="V49" s="8">
        <v>0.5</v>
      </c>
      <c r="W49" s="7">
        <f t="shared" si="28"/>
        <v>47.23</v>
      </c>
      <c r="X49" s="8">
        <f t="shared" si="29"/>
        <v>9183.14</v>
      </c>
      <c r="AB49" s="7" t="s">
        <v>70</v>
      </c>
      <c r="AC49" s="7" t="s">
        <v>71</v>
      </c>
    </row>
    <row r="50" spans="1:29" s="7" customFormat="1" ht="15" hidden="1" customHeight="1" x14ac:dyDescent="0.25">
      <c r="A50" s="4" t="s">
        <v>31</v>
      </c>
      <c r="B50" s="5">
        <v>26074335</v>
      </c>
      <c r="C50" s="6" t="s">
        <v>27</v>
      </c>
      <c r="D50" s="7" t="s">
        <v>35</v>
      </c>
      <c r="E50" s="8"/>
      <c r="F50" s="9">
        <v>3110009</v>
      </c>
      <c r="G50" s="9" t="s">
        <v>73</v>
      </c>
      <c r="H50" s="7" t="s">
        <v>44</v>
      </c>
      <c r="J50" s="6" t="s">
        <v>28</v>
      </c>
      <c r="K50" s="7">
        <v>4.8159999999999998</v>
      </c>
      <c r="L50" s="7">
        <v>1167</v>
      </c>
      <c r="M50" s="8">
        <v>18</v>
      </c>
      <c r="N50" s="8">
        <f t="shared" si="24"/>
        <v>1011.65</v>
      </c>
      <c r="O50" s="6">
        <v>4</v>
      </c>
      <c r="P50" s="6">
        <f t="shared" si="25"/>
        <v>224.81</v>
      </c>
      <c r="Q50" s="8">
        <f t="shared" si="26"/>
        <v>5620.27</v>
      </c>
      <c r="R50" s="8">
        <v>2</v>
      </c>
      <c r="S50" s="8">
        <f t="shared" si="27"/>
        <v>112.41</v>
      </c>
      <c r="V50" s="8">
        <v>0.5</v>
      </c>
      <c r="W50" s="7">
        <f t="shared" si="28"/>
        <v>34.28</v>
      </c>
      <c r="X50" s="8">
        <f t="shared" si="29"/>
        <v>6666.2</v>
      </c>
      <c r="AB50" s="7" t="s">
        <v>70</v>
      </c>
      <c r="AC50" s="7" t="s">
        <v>71</v>
      </c>
    </row>
    <row r="51" spans="1:29" s="7" customFormat="1" ht="15" hidden="1" customHeight="1" x14ac:dyDescent="0.25">
      <c r="A51" s="4" t="s">
        <v>31</v>
      </c>
      <c r="B51" s="5">
        <v>26074335</v>
      </c>
      <c r="C51" s="6" t="s">
        <v>27</v>
      </c>
      <c r="D51" s="7" t="s">
        <v>35</v>
      </c>
      <c r="E51" s="8"/>
      <c r="F51" s="9">
        <v>3110009</v>
      </c>
      <c r="G51" s="9" t="s">
        <v>73</v>
      </c>
      <c r="H51" s="7" t="s">
        <v>45</v>
      </c>
      <c r="J51" s="6" t="s">
        <v>28</v>
      </c>
      <c r="K51" s="7">
        <v>1.89</v>
      </c>
      <c r="L51" s="7">
        <v>1022</v>
      </c>
      <c r="M51" s="8">
        <v>18</v>
      </c>
      <c r="N51" s="8">
        <f t="shared" si="24"/>
        <v>347.68</v>
      </c>
      <c r="O51" s="6">
        <v>4</v>
      </c>
      <c r="P51" s="6">
        <f t="shared" si="25"/>
        <v>77.260000000000005</v>
      </c>
      <c r="Q51" s="8">
        <f t="shared" si="26"/>
        <v>1931.58</v>
      </c>
      <c r="R51" s="8">
        <v>2</v>
      </c>
      <c r="S51" s="8">
        <f t="shared" si="27"/>
        <v>38.630000000000003</v>
      </c>
      <c r="V51" s="8">
        <v>0.5</v>
      </c>
      <c r="W51" s="7">
        <f t="shared" si="28"/>
        <v>11.78</v>
      </c>
      <c r="X51" s="8">
        <f t="shared" si="29"/>
        <v>2291.04</v>
      </c>
      <c r="AB51" s="7" t="s">
        <v>70</v>
      </c>
      <c r="AC51" s="7" t="s">
        <v>71</v>
      </c>
    </row>
  </sheetData>
  <autoFilter ref="A1:AC51" xr:uid="{00000000-0001-0000-0000-000000000000}">
    <filterColumn colId="3">
      <filters>
        <filter val="Tariq General Store"/>
      </filters>
    </filterColumn>
  </autoFilter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TRADER</dc:creator>
  <cp:lastModifiedBy>HAFEEZ TRADER</cp:lastModifiedBy>
  <dcterms:created xsi:type="dcterms:W3CDTF">2026-07-14T05:50:23Z</dcterms:created>
  <dcterms:modified xsi:type="dcterms:W3CDTF">2026-07-22T07:41:11Z</dcterms:modified>
</cp:coreProperties>
</file>