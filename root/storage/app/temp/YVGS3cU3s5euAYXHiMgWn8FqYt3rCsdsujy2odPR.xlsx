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MAN TRADER\Desktop\BANG.PK\import sales template\"/>
    </mc:Choice>
  </mc:AlternateContent>
  <xr:revisionPtr revIDLastSave="0" documentId="13_ncr:1_{E41F11FA-7082-49BB-B4DE-50B4EC800962}" xr6:coauthVersionLast="47" xr6:coauthVersionMax="47" xr10:uidLastSave="{00000000-0000-0000-0000-000000000000}"/>
  <bookViews>
    <workbookView xWindow="2850" yWindow="2850" windowWidth="15375" windowHeight="7995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Q3" i="1" l="1"/>
  <c r="X3" i="1" s="1"/>
  <c r="N3" i="1"/>
  <c r="Q2" i="1"/>
  <c r="X2" i="1" s="1"/>
  <c r="N2" i="1"/>
</calcChain>
</file>

<file path=xl/sharedStrings.xml><?xml version="1.0" encoding="utf-8"?>
<sst xmlns="http://schemas.openxmlformats.org/spreadsheetml/2006/main" count="49" uniqueCount="44">
  <si>
    <t>Date</t>
  </si>
  <si>
    <t>Invoice#</t>
  </si>
  <si>
    <t>Scenario</t>
  </si>
  <si>
    <t>Customer Name</t>
  </si>
  <si>
    <t>Customer NTN</t>
  </si>
  <si>
    <t>Unregistered CNIC / NTN</t>
  </si>
  <si>
    <t>HS Code</t>
  </si>
  <si>
    <t>Product Description</t>
  </si>
  <si>
    <t>Product Remarks</t>
  </si>
  <si>
    <t>Uom (FBR)</t>
  </si>
  <si>
    <t>Quantity</t>
  </si>
  <si>
    <t>Rate</t>
  </si>
  <si>
    <t>Tax Rate %</t>
  </si>
  <si>
    <t>Tax Value</t>
  </si>
  <si>
    <t>Extra Tax</t>
  </si>
  <si>
    <t>ExtraTax Value</t>
  </si>
  <si>
    <t>Exclusive Value</t>
  </si>
  <si>
    <t>Discount%</t>
  </si>
  <si>
    <t>Discount Value</t>
  </si>
  <si>
    <t>Discount2%</t>
  </si>
  <si>
    <t>Discount Value 2</t>
  </si>
  <si>
    <t>Advance Income Tax%</t>
  </si>
  <si>
    <t>Total Income Tax</t>
  </si>
  <si>
    <t>Total Amount</t>
  </si>
  <si>
    <t>SRO Schedule#</t>
  </si>
  <si>
    <t>SRO Item#</t>
  </si>
  <si>
    <t>Above Remarks</t>
  </si>
  <si>
    <t>22/12/2025</t>
  </si>
  <si>
    <t>SN002</t>
  </si>
  <si>
    <t>WATER COLOURS WITH BRUSH</t>
  </si>
  <si>
    <t>Rem1</t>
  </si>
  <si>
    <t>KG</t>
  </si>
  <si>
    <t>Rem2</t>
  </si>
  <si>
    <t>Remarks11</t>
  </si>
  <si>
    <t>Remarks22</t>
  </si>
  <si>
    <t>Ferozpur road lahore</t>
  </si>
  <si>
    <t>Unregistered</t>
  </si>
  <si>
    <t>Ferozpur road lahore 2</t>
  </si>
  <si>
    <t>Customer Address</t>
  </si>
  <si>
    <t>Customer Type</t>
  </si>
  <si>
    <t>YESWALKING22</t>
  </si>
  <si>
    <t>Panther Tyres Ltd</t>
  </si>
  <si>
    <t>11002</t>
  </si>
  <si>
    <t>110012122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</si>
</sst>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998"/>
  <sheetViews>
    <sheetView tabSelected="1" zoomScaleNormal="100" workbookViewId="0">
      <selection activeCell="B3" sqref="B3"/>
    </sheetView>
  </sheetViews>
  <sheetFormatPr defaultColWidth="12.5703125" defaultRowHeight="15" customHeight="1" x14ac:dyDescent="0.2"/>
  <cols>
    <col min="1" max="5" width="12.5703125" customWidth="1"/>
    <col min="6" max="6" width="24.28515625" customWidth="1"/>
    <col min="7" max="7" width="12.5703125" customWidth="1"/>
    <col min="8" max="8" width="31" customWidth="1"/>
    <col min="9" max="9" width="16.7109375" customWidth="1"/>
    <col min="21" max="21" width="14.5703125" customWidth="1"/>
    <col min="28" max="28" width="25.140625" customWidth="1"/>
    <col min="29" max="29" width="19.85546875" customWidth="1"/>
  </cols>
  <sheetData>
    <row r="1" spans="1:29" ht="15.75" customHeight="1" x14ac:dyDescent="0.2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  <c r="AB1" s="2" t="s">
        <v>38</v>
      </c>
      <c r="AC1" s="2" t="s">
        <v>39</v>
      </c>
    </row>
    <row r="2" spans="1:29" ht="15.75" customHeight="1" x14ac:dyDescent="0.2">
      <c r="A2" s="3" t="s">
        <v>27</v>
      </c>
      <c r="B2" s="5" t="s">
        <v>43</v>
      </c>
      <c r="C2" s="1" t="s">
        <v>28</v>
      </c>
      <c r="D2" s="1" t="s">
        <v>40</v>
      </c>
      <c r="E2" s="4">
        <v>99999299</v>
      </c>
      <c r="F2" s="4"/>
      <c r="G2" s="4">
        <v>3213.1233999999999</v>
      </c>
      <c r="H2" s="1" t="s">
        <v>29</v>
      </c>
      <c r="I2" s="1" t="s">
        <v>30</v>
      </c>
      <c r="J2" s="1" t="s">
        <v>31</v>
      </c>
      <c r="K2" s="4">
        <v>10</v>
      </c>
      <c r="L2" s="4">
        <v>99</v>
      </c>
      <c r="M2" s="4">
        <v>18</v>
      </c>
      <c r="N2" s="4">
        <f t="shared" ref="N2:N3" si="0">K2*L2*(M2%)</f>
        <v>178.2</v>
      </c>
      <c r="O2" s="1"/>
      <c r="P2" s="1"/>
      <c r="Q2" s="4">
        <f t="shared" ref="Q2:Q3" si="1">K2*L2</f>
        <v>990</v>
      </c>
      <c r="R2" s="4">
        <v>2</v>
      </c>
      <c r="S2" s="4">
        <v>2</v>
      </c>
      <c r="T2" s="4"/>
      <c r="U2" s="4"/>
      <c r="V2" s="4"/>
      <c r="W2" s="4"/>
      <c r="X2" s="4">
        <f t="shared" ref="X2:X3" si="2">Q2+N2</f>
        <v>1168.2</v>
      </c>
      <c r="Y2" s="1"/>
      <c r="Z2" s="1"/>
      <c r="AA2" s="2" t="s">
        <v>33</v>
      </c>
      <c r="AB2" t="s">
        <v>35</v>
      </c>
      <c r="AC2" t="s">
        <v>36</v>
      </c>
    </row>
    <row r="3" spans="1:29" ht="15.75" customHeight="1" x14ac:dyDescent="0.2">
      <c r="A3" s="3" t="s">
        <v>27</v>
      </c>
      <c r="B3" s="5" t="s">
        <v>42</v>
      </c>
      <c r="C3" s="1" t="s">
        <v>28</v>
      </c>
      <c r="D3" s="1" t="s">
        <v>41</v>
      </c>
      <c r="E3" s="4">
        <v>9999999</v>
      </c>
      <c r="F3" s="4"/>
      <c r="G3" s="4">
        <v>3213.1233999999999</v>
      </c>
      <c r="H3" s="1" t="s">
        <v>29</v>
      </c>
      <c r="I3" s="1" t="s">
        <v>32</v>
      </c>
      <c r="J3" s="1" t="s">
        <v>31</v>
      </c>
      <c r="K3" s="4">
        <v>10</v>
      </c>
      <c r="L3" s="4">
        <v>99</v>
      </c>
      <c r="M3" s="4">
        <v>18</v>
      </c>
      <c r="N3" s="4">
        <f t="shared" si="0"/>
        <v>178.2</v>
      </c>
      <c r="O3" s="1"/>
      <c r="P3" s="1"/>
      <c r="Q3" s="4">
        <f t="shared" si="1"/>
        <v>990</v>
      </c>
      <c r="R3" s="4"/>
      <c r="S3" s="4"/>
      <c r="T3" s="4"/>
      <c r="U3" s="4"/>
      <c r="V3" s="4"/>
      <c r="W3" s="4"/>
      <c r="X3" s="4">
        <f t="shared" si="2"/>
        <v>1168.2</v>
      </c>
      <c r="Y3" s="1"/>
      <c r="Z3" s="1"/>
      <c r="AA3" s="2" t="s">
        <v>34</v>
      </c>
      <c r="AB3" t="s">
        <v>37</v>
      </c>
      <c r="AC3" t="s">
        <v>36</v>
      </c>
    </row>
    <row r="4" spans="1:29" ht="15.75" customHeight="1" x14ac:dyDescent="0.2"/>
    <row r="5" spans="1:29" ht="15.75" customHeight="1" x14ac:dyDescent="0.2"/>
    <row r="6" spans="1:29" ht="15.75" customHeight="1" x14ac:dyDescent="0.2"/>
    <row r="7" spans="1:29" ht="15.75" customHeight="1" x14ac:dyDescent="0.2"/>
    <row r="8" spans="1:29" ht="15.75" customHeight="1" x14ac:dyDescent="0.2"/>
    <row r="9" spans="1:29" ht="15.75" customHeight="1" x14ac:dyDescent="0.2"/>
    <row r="10" spans="1:29" ht="15.75" customHeight="1" x14ac:dyDescent="0.2"/>
    <row r="11" spans="1:29" ht="15.75" customHeight="1" x14ac:dyDescent="0.2"/>
    <row r="12" spans="1:29" ht="15.75" customHeight="1" x14ac:dyDescent="0.2"/>
    <row r="13" spans="1:29" ht="15.75" customHeight="1" x14ac:dyDescent="0.2"/>
    <row r="14" spans="1:29" ht="15.75" customHeight="1" x14ac:dyDescent="0.2"/>
    <row r="15" spans="1:29" ht="15.75" customHeight="1" x14ac:dyDescent="0.2"/>
    <row r="16" spans="1:29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WASEEM ASGHAR</cp:lastModifiedBy>
  <dcterms:modified xsi:type="dcterms:W3CDTF">2026-05-06T04:58:40Z</dcterms:modified>
</cp:coreProperties>
</file>