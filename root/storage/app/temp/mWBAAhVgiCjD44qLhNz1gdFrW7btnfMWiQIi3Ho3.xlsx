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New Downloads\"/>
    </mc:Choice>
  </mc:AlternateContent>
  <xr:revisionPtr revIDLastSave="0" documentId="13_ncr:1_{FBDD0DCB-553C-4493-A0D1-73D889971D8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X7" i="1" l="1"/>
  <c r="Q7" i="1"/>
  <c r="N7" i="1"/>
  <c r="X6" i="1" l="1"/>
  <c r="Q3" i="1"/>
  <c r="X3" i="1" s="1"/>
  <c r="Q4" i="1"/>
  <c r="X4" i="1" s="1"/>
  <c r="Q5" i="1"/>
  <c r="X5" i="1" s="1"/>
  <c r="Q6" i="1"/>
  <c r="N3" i="1"/>
  <c r="N4" i="1"/>
  <c r="N5" i="1"/>
  <c r="N6" i="1"/>
  <c r="Q2" i="1"/>
  <c r="N2" i="1"/>
  <c r="X2" i="1" l="1"/>
</calcChain>
</file>

<file path=xl/sharedStrings.xml><?xml version="1.0" encoding="utf-8"?>
<sst xmlns="http://schemas.openxmlformats.org/spreadsheetml/2006/main" count="74" uniqueCount="49">
  <si>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</si>
  <si>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</si>
  <si>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</si>
  <si>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</si>
  <si>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</si>
  <si>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</si>
  <si>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</si>
  <si>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</si>
  <si>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</si>
  <si>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</si>
  <si>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</si>
  <si>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</si>
  <si>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</si>
  <si>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</si>
  <si>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</si>
  <si>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</si>
  <si>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</si>
  <si>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</si>
  <si>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</si>
  <si>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</si>
  <si>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</si>
  <si>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</si>
  <si>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</si>
  <si>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</si>
  <si>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</si>
  <si>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</si>
  <si>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</si>
  <si>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SN008</t>
  </si>
  <si>
    <t>SHAFQAT TRADERS (ACTIVE)</t>
  </si>
  <si>
    <t>8507.1010:-</t>
  </si>
  <si>
    <t>Numbers,pieces,units</t>
  </si>
  <si>
    <t>3520222488805</t>
  </si>
  <si>
    <t>3460131545167</t>
  </si>
  <si>
    <t>BHALLI BATTERY HOUSE (ACTIVE)</t>
  </si>
  <si>
    <t>UN-REGISTERED</t>
  </si>
  <si>
    <t>PUNJAB</t>
  </si>
  <si>
    <t>Sale Invoice</t>
  </si>
  <si>
    <t>8504.4090:-</t>
  </si>
  <si>
    <t>Goods at standard rate (default)</t>
  </si>
  <si>
    <t>Numbers, pieces, units</t>
  </si>
  <si>
    <t xml:space="preserve">PV TECH-1000 HYBRID INVERTOR </t>
  </si>
  <si>
    <t>Valid</t>
  </si>
  <si>
    <t>SN001</t>
  </si>
  <si>
    <t>SUPER 6 AH</t>
  </si>
  <si>
    <t>SUPREME 8 AH</t>
  </si>
  <si>
    <t>SUPER 8 AH</t>
  </si>
  <si>
    <t>SUPREME 10 AH</t>
  </si>
  <si>
    <t>SUPREME 4 AH</t>
  </si>
  <si>
    <t>PV TECH-1000 HYBRID INVERTOR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</si>
</sst>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2"/>
  <sheetViews>
    <sheetView tabSelected="1" workbookViewId="0">
      <selection activeCell="H2" sqref="H2:H7"/>
    </sheetView>
  </sheetViews>
  <sheetFormatPr defaultColWidth="12.5703125" defaultRowHeight="15" customHeight="1" x14ac:dyDescent="0.2"/>
  <cols>
    <col min="1" max="1" width="13.85546875" customWidth="1"/>
    <col min="2" max="2" width="10.5703125" customWidth="1"/>
    <col min="3" max="3" width="12.5703125" customWidth="1"/>
    <col min="4" max="4" width="27.85546875" bestFit="1" customWidth="1"/>
    <col min="5" max="5" width="19.42578125" bestFit="1" customWidth="1"/>
    <col min="6" max="6" width="22" bestFit="1" customWidth="1"/>
    <col min="7" max="7" width="10.7109375" bestFit="1" customWidth="1"/>
    <col min="8" max="8" width="17.5703125" bestFit="1" customWidth="1"/>
    <col min="9" max="9" width="15.5703125" bestFit="1" customWidth="1"/>
    <col min="10" max="10" width="19.28515625" bestFit="1" customWidth="1"/>
    <col min="11" max="11" width="8" bestFit="1" customWidth="1"/>
    <col min="12" max="12" width="6" bestFit="1" customWidth="1"/>
    <col min="13" max="13" width="10.7109375" bestFit="1" customWidth="1"/>
    <col min="14" max="14" width="9.28515625" bestFit="1" customWidth="1"/>
    <col min="15" max="15" width="9" bestFit="1" customWidth="1"/>
    <col min="16" max="16" width="13.85546875" bestFit="1" customWidth="1"/>
    <col min="17" max="17" width="17.5703125" bestFit="1" customWidth="1"/>
    <col min="18" max="18" width="10" bestFit="1" customWidth="1"/>
    <col min="19" max="19" width="13.7109375" bestFit="1" customWidth="1"/>
    <col min="20" max="20" width="11" bestFit="1" customWidth="1"/>
    <col min="21" max="21" width="15.28515625" bestFit="1" customWidth="1"/>
    <col min="22" max="22" width="20.140625" bestFit="1" customWidth="1"/>
    <col min="23" max="23" width="15.28515625" bestFit="1" customWidth="1"/>
    <col min="24" max="24" width="12" bestFit="1" customWidth="1"/>
    <col min="25" max="25" width="14.42578125" bestFit="1" customWidth="1"/>
    <col min="26" max="26" width="10.140625" bestFit="1" customWidth="1"/>
    <col min="27" max="27" width="14.140625" bestFit="1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s="3">
        <v>46025</v>
      </c>
      <c r="B2" s="1">
        <v>108591</v>
      </c>
      <c r="C2" s="1" t="s">
        <v>27</v>
      </c>
      <c r="D2" t="s">
        <v>28</v>
      </c>
      <c r="E2" t="s">
        <v>31</v>
      </c>
      <c r="G2" t="s">
        <v>29</v>
      </c>
      <c r="H2" t="s">
        <v>45</v>
      </c>
      <c r="J2" s="1" t="s">
        <v>30</v>
      </c>
      <c r="K2">
        <v>24</v>
      </c>
      <c r="L2" s="4">
        <v>2700</v>
      </c>
      <c r="M2" s="4">
        <v>18</v>
      </c>
      <c r="N2" s="4">
        <f t="shared" ref="N2:N7" si="0">K2*L2*(M2%)</f>
        <v>11664</v>
      </c>
      <c r="Q2" s="4">
        <f t="shared" ref="Q2:Q7" si="1">K2*L2</f>
        <v>64800</v>
      </c>
      <c r="R2" s="4"/>
      <c r="S2" s="4">
        <v>7128</v>
      </c>
      <c r="X2" s="4">
        <f>Q2+N2-S2</f>
        <v>69336</v>
      </c>
    </row>
    <row r="3" spans="1:27" ht="15.75" customHeight="1" x14ac:dyDescent="0.2">
      <c r="A3" s="3">
        <v>46025</v>
      </c>
      <c r="B3" s="1">
        <v>108591</v>
      </c>
      <c r="C3" s="1" t="s">
        <v>27</v>
      </c>
      <c r="D3" t="s">
        <v>28</v>
      </c>
      <c r="E3" t="s">
        <v>31</v>
      </c>
      <c r="G3" t="s">
        <v>29</v>
      </c>
      <c r="H3" t="s">
        <v>44</v>
      </c>
      <c r="J3" s="1" t="s">
        <v>30</v>
      </c>
      <c r="K3">
        <v>30</v>
      </c>
      <c r="L3" s="4">
        <v>3380</v>
      </c>
      <c r="M3" s="4">
        <v>18</v>
      </c>
      <c r="N3" s="4">
        <f t="shared" si="0"/>
        <v>18252</v>
      </c>
      <c r="Q3" s="4">
        <f t="shared" si="1"/>
        <v>101400</v>
      </c>
      <c r="R3" s="4"/>
      <c r="S3" s="4">
        <v>11154</v>
      </c>
      <c r="X3" s="4">
        <f t="shared" ref="X3:X7" si="2">Q3+N3-S3</f>
        <v>108498</v>
      </c>
    </row>
    <row r="4" spans="1:27" ht="15.75" customHeight="1" x14ac:dyDescent="0.2">
      <c r="A4" s="3">
        <v>46025</v>
      </c>
      <c r="B4" s="1">
        <v>108591</v>
      </c>
      <c r="C4" s="1" t="s">
        <v>27</v>
      </c>
      <c r="D4" t="s">
        <v>28</v>
      </c>
      <c r="E4" t="s">
        <v>31</v>
      </c>
      <c r="G4" t="s">
        <v>29</v>
      </c>
      <c r="H4" t="s">
        <v>43</v>
      </c>
      <c r="J4" s="1" t="s">
        <v>30</v>
      </c>
      <c r="K4">
        <v>30</v>
      </c>
      <c r="L4">
        <v>2145</v>
      </c>
      <c r="M4" s="4">
        <v>18</v>
      </c>
      <c r="N4" s="4">
        <f t="shared" si="0"/>
        <v>11583</v>
      </c>
      <c r="Q4" s="4">
        <f t="shared" si="1"/>
        <v>64350</v>
      </c>
      <c r="S4">
        <v>7078.5</v>
      </c>
      <c r="X4" s="4">
        <f t="shared" si="2"/>
        <v>68854.5</v>
      </c>
    </row>
    <row r="5" spans="1:27" ht="15.75" customHeight="1" x14ac:dyDescent="0.2">
      <c r="A5" s="3">
        <v>46025</v>
      </c>
      <c r="B5" s="1">
        <v>108591</v>
      </c>
      <c r="C5" s="1" t="s">
        <v>27</v>
      </c>
      <c r="D5" t="s">
        <v>28</v>
      </c>
      <c r="E5" t="s">
        <v>31</v>
      </c>
      <c r="G5" t="s">
        <v>29</v>
      </c>
      <c r="H5" t="s">
        <v>46</v>
      </c>
      <c r="J5" s="1" t="s">
        <v>30</v>
      </c>
      <c r="K5">
        <v>60</v>
      </c>
      <c r="L5">
        <v>4330</v>
      </c>
      <c r="M5" s="4">
        <v>18</v>
      </c>
      <c r="N5" s="4">
        <f t="shared" si="0"/>
        <v>46764</v>
      </c>
      <c r="Q5" s="4">
        <f t="shared" si="1"/>
        <v>259800</v>
      </c>
      <c r="S5">
        <v>28578</v>
      </c>
      <c r="X5" s="4">
        <f t="shared" si="2"/>
        <v>277986</v>
      </c>
    </row>
    <row r="6" spans="1:27" ht="15.75" customHeight="1" x14ac:dyDescent="0.2">
      <c r="A6" s="3">
        <v>46025</v>
      </c>
      <c r="B6" s="1">
        <v>108591</v>
      </c>
      <c r="C6" s="1" t="s">
        <v>27</v>
      </c>
      <c r="D6" t="s">
        <v>28</v>
      </c>
      <c r="E6" t="s">
        <v>31</v>
      </c>
      <c r="G6" t="s">
        <v>29</v>
      </c>
      <c r="H6" t="s">
        <v>47</v>
      </c>
      <c r="J6" s="1" t="s">
        <v>30</v>
      </c>
      <c r="K6">
        <v>180</v>
      </c>
      <c r="L6">
        <v>1435</v>
      </c>
      <c r="M6" s="4">
        <v>18</v>
      </c>
      <c r="N6" s="4">
        <f t="shared" si="0"/>
        <v>46494</v>
      </c>
      <c r="Q6" s="4">
        <f t="shared" si="1"/>
        <v>258300</v>
      </c>
      <c r="S6">
        <v>28413</v>
      </c>
      <c r="X6" s="4">
        <f t="shared" si="2"/>
        <v>276381</v>
      </c>
    </row>
    <row r="7" spans="1:27" ht="15.75" customHeight="1" x14ac:dyDescent="0.2">
      <c r="A7" s="3">
        <v>46050</v>
      </c>
      <c r="B7">
        <v>109964</v>
      </c>
      <c r="C7" s="1" t="s">
        <v>42</v>
      </c>
      <c r="D7" t="s">
        <v>33</v>
      </c>
      <c r="E7" t="s">
        <v>32</v>
      </c>
      <c r="G7" t="s">
        <v>37</v>
      </c>
      <c r="H7" t="s">
        <v>48</v>
      </c>
      <c r="J7" s="1" t="s">
        <v>30</v>
      </c>
      <c r="K7">
        <v>2</v>
      </c>
      <c r="L7">
        <v>30000</v>
      </c>
      <c r="M7" s="4">
        <v>18</v>
      </c>
      <c r="N7" s="4">
        <f t="shared" si="0"/>
        <v>10800</v>
      </c>
      <c r="Q7" s="4">
        <f t="shared" si="1"/>
        <v>60000</v>
      </c>
      <c r="S7">
        <v>0</v>
      </c>
      <c r="X7" s="4">
        <f t="shared" si="2"/>
        <v>70800</v>
      </c>
    </row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phoneticPr fontId="3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F8BF-661E-4897-910E-5A74669A8A5A}">
  <dimension ref="B18:AC18"/>
  <sheetViews>
    <sheetView topLeftCell="C1" workbookViewId="0">
      <selection activeCell="N18" sqref="N18"/>
    </sheetView>
  </sheetViews>
  <sheetFormatPr defaultRowHeight="12.75" x14ac:dyDescent="0.2"/>
  <cols>
    <col min="9" max="9" width="10.140625" style="5" bestFit="1" customWidth="1"/>
  </cols>
  <sheetData>
    <row r="18" spans="2:29" x14ac:dyDescent="0.2">
      <c r="B18" t="s">
        <v>32</v>
      </c>
      <c r="C18" t="s">
        <v>33</v>
      </c>
      <c r="D18" t="s">
        <v>34</v>
      </c>
      <c r="E18" t="s">
        <v>35</v>
      </c>
      <c r="F18" t="s">
        <v>35</v>
      </c>
      <c r="G18" t="s">
        <v>36</v>
      </c>
      <c r="H18">
        <v>109964</v>
      </c>
      <c r="I18" s="5">
        <v>46050</v>
      </c>
      <c r="J18" t="s">
        <v>37</v>
      </c>
      <c r="K18" t="s">
        <v>38</v>
      </c>
      <c r="L18">
        <v>0.18</v>
      </c>
      <c r="N18">
        <v>2</v>
      </c>
      <c r="O18" t="s">
        <v>39</v>
      </c>
      <c r="P18">
        <v>60000</v>
      </c>
      <c r="Q18">
        <v>0</v>
      </c>
      <c r="R18">
        <v>0</v>
      </c>
      <c r="AB18" t="s">
        <v>40</v>
      </c>
      <c r="AC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TAX PC</cp:lastModifiedBy>
  <dcterms:modified xsi:type="dcterms:W3CDTF">2026-02-11T04:58:51Z</dcterms:modified>
</cp:coreProperties>
</file>