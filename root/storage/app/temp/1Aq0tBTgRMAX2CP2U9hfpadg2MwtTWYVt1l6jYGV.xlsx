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"/>
    </mc:Choice>
  </mc:AlternateContent>
  <xr:revisionPtr revIDLastSave="0" documentId="13_ncr:1_{DD09B6DF-E926-439A-9464-813B22B83EE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Q84" i="2" l="1"/>
  <c r="N84" i="2"/>
  <c r="Q83" i="2"/>
  <c r="N83" i="2"/>
  <c r="Q82" i="2"/>
  <c r="X82" i="2" s="1"/>
  <c r="N82" i="2"/>
  <c r="Q81" i="2"/>
  <c r="N81" i="2"/>
  <c r="Q80" i="2"/>
  <c r="N80" i="2"/>
  <c r="Q79" i="2"/>
  <c r="N79" i="2"/>
  <c r="Q78" i="2"/>
  <c r="N78" i="2"/>
  <c r="Q77" i="2"/>
  <c r="N77" i="2"/>
  <c r="Q76" i="2"/>
  <c r="X76" i="2" s="1"/>
  <c r="N76" i="2"/>
  <c r="Q75" i="2"/>
  <c r="N75" i="2"/>
  <c r="Q74" i="2"/>
  <c r="N74" i="2"/>
  <c r="Q73" i="2"/>
  <c r="N73" i="2"/>
  <c r="Q72" i="2"/>
  <c r="N72" i="2"/>
  <c r="Q71" i="2"/>
  <c r="N71" i="2"/>
  <c r="Q70" i="2"/>
  <c r="N70" i="2"/>
  <c r="Q69" i="2"/>
  <c r="N69" i="2"/>
  <c r="Q68" i="2"/>
  <c r="X68" i="2" s="1"/>
  <c r="N68" i="2"/>
  <c r="Q67" i="2"/>
  <c r="N67" i="2"/>
  <c r="Q66" i="2"/>
  <c r="X66" i="2" s="1"/>
  <c r="N66" i="2"/>
  <c r="Q65" i="2"/>
  <c r="N65" i="2"/>
  <c r="Q64" i="2"/>
  <c r="N64" i="2"/>
  <c r="Q63" i="2"/>
  <c r="N63" i="2"/>
  <c r="Q62" i="2"/>
  <c r="N62" i="2"/>
  <c r="Q61" i="2"/>
  <c r="N61" i="2"/>
  <c r="Q60" i="2"/>
  <c r="X60" i="2" s="1"/>
  <c r="N60" i="2"/>
  <c r="Q59" i="2"/>
  <c r="N59" i="2"/>
  <c r="Q58" i="2"/>
  <c r="N58" i="2"/>
  <c r="Q57" i="2"/>
  <c r="N57" i="2"/>
  <c r="Q56" i="2"/>
  <c r="N56" i="2"/>
  <c r="Q55" i="2"/>
  <c r="N55" i="2"/>
  <c r="Q54" i="2"/>
  <c r="N54" i="2"/>
  <c r="Q53" i="2"/>
  <c r="N53" i="2"/>
  <c r="Q52" i="2"/>
  <c r="X52" i="2" s="1"/>
  <c r="N52" i="2"/>
  <c r="Q51" i="2"/>
  <c r="N51" i="2"/>
  <c r="Q50" i="2"/>
  <c r="N50" i="2"/>
  <c r="Q49" i="2"/>
  <c r="N49" i="2"/>
  <c r="Q48" i="2"/>
  <c r="X48" i="2" s="1"/>
  <c r="N48" i="2"/>
  <c r="Q47" i="2"/>
  <c r="N47" i="2"/>
  <c r="Q46" i="2"/>
  <c r="N46" i="2"/>
  <c r="Q45" i="2"/>
  <c r="N45" i="2"/>
  <c r="Q44" i="2"/>
  <c r="X44" i="2" s="1"/>
  <c r="N44" i="2"/>
  <c r="Q43" i="2"/>
  <c r="N43" i="2"/>
  <c r="Q42" i="2"/>
  <c r="X42" i="2" s="1"/>
  <c r="N42" i="2"/>
  <c r="Q41" i="2"/>
  <c r="N41" i="2"/>
  <c r="Q40" i="2"/>
  <c r="N40" i="2"/>
  <c r="Q39" i="2"/>
  <c r="N39" i="2"/>
  <c r="Q38" i="2"/>
  <c r="N38" i="2"/>
  <c r="Q37" i="2"/>
  <c r="X37" i="2" s="1"/>
  <c r="N37" i="2"/>
  <c r="Q36" i="2"/>
  <c r="N36" i="2"/>
  <c r="Q35" i="2"/>
  <c r="N35" i="2"/>
  <c r="Q34" i="2"/>
  <c r="N34" i="2"/>
  <c r="Q33" i="2"/>
  <c r="N33" i="2"/>
  <c r="Q32" i="2"/>
  <c r="N32" i="2"/>
  <c r="Q31" i="2"/>
  <c r="N31" i="2"/>
  <c r="Q30" i="2"/>
  <c r="N30" i="2"/>
  <c r="Q29" i="2"/>
  <c r="N29" i="2"/>
  <c r="Q28" i="2"/>
  <c r="N28" i="2"/>
  <c r="Q27" i="2"/>
  <c r="N27" i="2"/>
  <c r="Q26" i="2"/>
  <c r="N26" i="2"/>
  <c r="Q25" i="2"/>
  <c r="N25" i="2"/>
  <c r="Q24" i="2"/>
  <c r="N24" i="2"/>
  <c r="Q23" i="2"/>
  <c r="N23" i="2"/>
  <c r="Q22" i="2"/>
  <c r="N22" i="2"/>
  <c r="Q21" i="2"/>
  <c r="X21" i="2" s="1"/>
  <c r="N21" i="2"/>
  <c r="Q20" i="2"/>
  <c r="N20" i="2"/>
  <c r="Q19" i="2"/>
  <c r="N19" i="2"/>
  <c r="Q18" i="2"/>
  <c r="N18" i="2"/>
  <c r="Q17" i="2"/>
  <c r="X17" i="2" s="1"/>
  <c r="N17" i="2"/>
  <c r="Q16" i="2"/>
  <c r="N16" i="2"/>
  <c r="Q15" i="2"/>
  <c r="N15" i="2"/>
  <c r="Q14" i="2"/>
  <c r="N14" i="2"/>
  <c r="Q13" i="2"/>
  <c r="N13" i="2"/>
  <c r="Q12" i="2"/>
  <c r="N12" i="2"/>
  <c r="Q11" i="2"/>
  <c r="X11" i="2" s="1"/>
  <c r="N11" i="2"/>
  <c r="Q10" i="2"/>
  <c r="N10" i="2"/>
  <c r="Q9" i="2"/>
  <c r="X9" i="2" s="1"/>
  <c r="N9" i="2"/>
  <c r="Q8" i="2"/>
  <c r="N8" i="2"/>
  <c r="Q7" i="2"/>
  <c r="N7" i="2"/>
  <c r="Q6" i="2"/>
  <c r="N6" i="2"/>
  <c r="Q5" i="2"/>
  <c r="N5" i="2"/>
  <c r="Q4" i="2"/>
  <c r="N4" i="2"/>
  <c r="Q3" i="2"/>
  <c r="N3" i="2"/>
  <c r="Q2" i="2"/>
  <c r="N2" i="2"/>
  <c r="X45" i="2" l="1"/>
  <c r="X55" i="2"/>
  <c r="X61" i="2"/>
  <c r="X65" i="2"/>
  <c r="X69" i="2"/>
  <c r="X83" i="2"/>
  <c r="X46" i="2"/>
  <c r="X84" i="2"/>
  <c r="X81" i="2"/>
  <c r="X80" i="2"/>
  <c r="X75" i="2"/>
  <c r="X77" i="2"/>
  <c r="X78" i="2"/>
  <c r="X79" i="2"/>
  <c r="X74" i="2"/>
  <c r="X73" i="2"/>
  <c r="X71" i="2"/>
  <c r="X70" i="2"/>
  <c r="X72" i="2"/>
  <c r="X67" i="2"/>
  <c r="X64" i="2"/>
  <c r="X59" i="2"/>
  <c r="X62" i="2"/>
  <c r="X63" i="2"/>
  <c r="X58" i="2"/>
  <c r="X57" i="2"/>
  <c r="X56" i="2"/>
  <c r="X54" i="2"/>
  <c r="X53" i="2"/>
  <c r="X51" i="2"/>
  <c r="X50" i="2"/>
  <c r="X49" i="2"/>
  <c r="X47" i="2"/>
  <c r="X27" i="2"/>
  <c r="X43" i="2"/>
  <c r="X28" i="2"/>
  <c r="X41" i="2"/>
  <c r="X40" i="2"/>
  <c r="X39" i="2"/>
  <c r="X38" i="2"/>
  <c r="X36" i="2"/>
  <c r="X31" i="2"/>
  <c r="X12" i="2"/>
  <c r="X16" i="2"/>
  <c r="X18" i="2"/>
  <c r="X20" i="2"/>
  <c r="X35" i="2"/>
  <c r="X34" i="2"/>
  <c r="X33" i="2"/>
  <c r="X32" i="2"/>
  <c r="X30" i="2"/>
  <c r="X29" i="2"/>
  <c r="X26" i="2"/>
  <c r="X25" i="2"/>
  <c r="X24" i="2"/>
  <c r="X22" i="2"/>
  <c r="X23" i="2"/>
  <c r="X19" i="2"/>
  <c r="X15" i="2"/>
  <c r="X14" i="2"/>
  <c r="X13" i="2"/>
  <c r="X10" i="2"/>
  <c r="X8" i="2"/>
  <c r="X3" i="2"/>
  <c r="X7" i="2"/>
  <c r="X6" i="2"/>
  <c r="X5" i="2"/>
  <c r="X4" i="2"/>
  <c r="X2" i="2"/>
  <c r="Q5" i="1"/>
  <c r="N5" i="1"/>
  <c r="Q4" i="1"/>
  <c r="X4" i="1" s="1"/>
  <c r="N4" i="1"/>
  <c r="Q3" i="1"/>
  <c r="X3" i="1" s="1"/>
  <c r="N3" i="1"/>
  <c r="Q2" i="1"/>
  <c r="X2" i="1" s="1"/>
  <c r="N2" i="1"/>
  <c r="X5" i="1" l="1"/>
</calcChain>
</file>

<file path=xl/sharedStrings.xml><?xml version="1.0" encoding="utf-8"?>
<sst xmlns="http://schemas.openxmlformats.org/spreadsheetml/2006/main" count="589" uniqueCount="66">
  <si>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</si>
  <si>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</si>
  <si>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</si>
  <si>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</si>
  <si>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</si>
  <si>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</si>
  <si>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</si>
  <si>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</si>
  <si>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</si>
  <si>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</si>
  <si>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</si>
  <si>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</si>
  <si>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</si>
  <si>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</si>
  <si>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</si>
  <si>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</si>
  <si>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</si>
  <si>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</si>
  <si>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</si>
  <si>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</si>
  <si>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</si>
  <si>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</si>
  <si>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</si>
  <si>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</si>
  <si>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</si>
  <si>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</si>
  <si>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</si>
  <si>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</si>
  <si>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</si>
  <si>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WALKING</t>
  </si>
  <si>
    <t>WATER COLOURS WITH BRUSH</t>
  </si>
  <si>
    <t>Rem1</t>
  </si>
  <si>
    <t>KG</t>
  </si>
  <si>
    <t>Remarks1</t>
  </si>
  <si>
    <t>Rem2</t>
  </si>
  <si>
    <t>Remarks2</t>
  </si>
  <si>
    <t>Rem3</t>
  </si>
  <si>
    <t>Remarks3</t>
  </si>
  <si>
    <t>Rem4</t>
  </si>
  <si>
    <t>Remarks4</t>
  </si>
  <si>
    <t>Customer Address</t>
  </si>
  <si>
    <t>Customer Type</t>
  </si>
  <si>
    <t>Registered</t>
  </si>
  <si>
    <t>Lahore</t>
  </si>
  <si>
    <t>Lahore 1</t>
  </si>
  <si>
    <t>SN001</t>
  </si>
  <si>
    <t>Z-Tiger Clothing</t>
  </si>
  <si>
    <t>CTN STICKERS</t>
  </si>
  <si>
    <t>STICKER</t>
  </si>
  <si>
    <t>LABELS</t>
  </si>
  <si>
    <t>INFO BOOK</t>
  </si>
  <si>
    <t>Number</t>
  </si>
  <si>
    <t>HANG TAGS</t>
  </si>
  <si>
    <t>21-Km Off Ferozpur Rd. Small Rohi Drain Lahore</t>
  </si>
  <si>
    <t>SHZ TEXTILES</t>
  </si>
  <si>
    <t>81-M Quaid-e-Azam Industrial Estate Lahore</t>
  </si>
  <si>
    <t>Knittex Fashion</t>
  </si>
  <si>
    <t>22-Km Off Ferozpur Rd. Small Rohi Drain Lahore</t>
  </si>
  <si>
    <t>Textile Sourcing</t>
  </si>
  <si>
    <t>162-M, Quaid-e-Azam Industrial Estate Lahore</t>
  </si>
  <si>
    <t>SN016</t>
  </si>
  <si>
    <t xml:space="preserve">       </t>
  </si>
  <si>
    <t>1001</t>
  </si>
  <si>
    <t>2002</t>
  </si>
  <si>
    <t>3003</t>
  </si>
  <si>
    <t>4004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</si>
</sst>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"/>
    <numFmt numFmtId="166" formatCode="dd/mm/yyyy;@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Roboto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166" fontId="5" fillId="0" borderId="0" xfId="0" applyNumberFormat="1" applyFont="1" applyAlignment="1">
      <alignment horizontal="right"/>
    </xf>
    <xf numFmtId="0" fontId="6" fillId="0" borderId="0" xfId="0" applyFont="1"/>
    <xf numFmtId="164" fontId="5" fillId="0" borderId="0" xfId="1" applyFont="1" applyAlignment="1">
      <alignment horizontal="right"/>
    </xf>
    <xf numFmtId="0" fontId="7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tabSelected="1" zoomScale="85" zoomScaleNormal="85" workbookViewId="0">
      <selection activeCell="D10" sqref="D10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19.85546875" customWidth="1"/>
  </cols>
  <sheetData>
    <row r="1" spans="1:29" ht="15.75" customHeight="1" x14ac:dyDescent="0.2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40</v>
      </c>
      <c r="AC1" s="2" t="s">
        <v>41</v>
      </c>
    </row>
    <row r="2" spans="1:29" ht="15.75" customHeight="1" x14ac:dyDescent="0.2">
      <c r="A2" s="3" t="s">
        <v>27</v>
      </c>
      <c r="B2" s="6" t="s">
        <v>62</v>
      </c>
      <c r="C2" s="1" t="s">
        <v>28</v>
      </c>
      <c r="D2" s="1" t="s">
        <v>29</v>
      </c>
      <c r="E2" s="4">
        <v>9999999</v>
      </c>
      <c r="F2" s="4"/>
      <c r="G2" s="4">
        <v>3213.1233999999999</v>
      </c>
      <c r="H2" s="1" t="s">
        <v>30</v>
      </c>
      <c r="I2" s="1" t="s">
        <v>31</v>
      </c>
      <c r="J2" s="1" t="s">
        <v>32</v>
      </c>
      <c r="K2" s="4">
        <v>10</v>
      </c>
      <c r="L2" s="4">
        <v>99</v>
      </c>
      <c r="M2" s="4">
        <v>18</v>
      </c>
      <c r="N2" s="4">
        <f t="shared" ref="N2:N5" si="0">K2*L2*(M2%)</f>
        <v>178.2</v>
      </c>
      <c r="O2" s="1"/>
      <c r="P2" s="1"/>
      <c r="Q2" s="4">
        <f t="shared" ref="Q2:Q5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5" si="2">Q2+N2</f>
        <v>1168.2</v>
      </c>
      <c r="Y2" s="1"/>
      <c r="Z2" s="1"/>
      <c r="AA2" s="2" t="s">
        <v>33</v>
      </c>
      <c r="AB2" t="s">
        <v>43</v>
      </c>
      <c r="AC2" t="s">
        <v>42</v>
      </c>
    </row>
    <row r="3" spans="1:29" ht="15.75" customHeight="1" x14ac:dyDescent="0.2">
      <c r="A3" s="3" t="s">
        <v>27</v>
      </c>
      <c r="B3" s="6" t="s">
        <v>63</v>
      </c>
      <c r="C3" s="1" t="s">
        <v>28</v>
      </c>
      <c r="D3" s="1" t="s">
        <v>29</v>
      </c>
      <c r="E3" s="4">
        <v>9999999</v>
      </c>
      <c r="F3" s="4"/>
      <c r="G3" s="4">
        <v>3213.1233999999999</v>
      </c>
      <c r="H3" s="1" t="s">
        <v>30</v>
      </c>
      <c r="I3" s="1" t="s">
        <v>34</v>
      </c>
      <c r="J3" s="1" t="s">
        <v>32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35</v>
      </c>
      <c r="AB3" t="s">
        <v>44</v>
      </c>
    </row>
    <row r="4" spans="1:29" ht="15.75" customHeight="1" x14ac:dyDescent="0.25">
      <c r="A4" s="3" t="s">
        <v>27</v>
      </c>
      <c r="B4" s="6" t="s">
        <v>64</v>
      </c>
      <c r="C4" s="1" t="s">
        <v>28</v>
      </c>
      <c r="D4" s="1" t="s">
        <v>29</v>
      </c>
      <c r="E4" s="4">
        <v>9999999</v>
      </c>
      <c r="F4" s="4"/>
      <c r="G4" s="4">
        <v>3213.1233999999999</v>
      </c>
      <c r="H4" s="5" t="s">
        <v>30</v>
      </c>
      <c r="I4" s="1" t="s">
        <v>36</v>
      </c>
      <c r="J4" s="1" t="s">
        <v>32</v>
      </c>
      <c r="K4" s="4">
        <v>10</v>
      </c>
      <c r="L4" s="4">
        <v>99</v>
      </c>
      <c r="M4" s="4">
        <v>18</v>
      </c>
      <c r="N4" s="4">
        <f t="shared" si="0"/>
        <v>178.2</v>
      </c>
      <c r="O4" s="1"/>
      <c r="P4" s="1"/>
      <c r="Q4" s="4">
        <f t="shared" si="1"/>
        <v>990</v>
      </c>
      <c r="R4" s="4">
        <v>2</v>
      </c>
      <c r="S4" s="4">
        <v>2</v>
      </c>
      <c r="T4" s="4"/>
      <c r="U4" s="4"/>
      <c r="V4" s="4"/>
      <c r="W4" s="4"/>
      <c r="X4" s="4">
        <f t="shared" si="2"/>
        <v>1168.2</v>
      </c>
      <c r="Y4" s="1"/>
      <c r="Z4" s="1"/>
      <c r="AA4" s="2" t="s">
        <v>37</v>
      </c>
    </row>
    <row r="5" spans="1:29" ht="15.75" customHeight="1" x14ac:dyDescent="0.2">
      <c r="A5" s="3" t="s">
        <v>27</v>
      </c>
      <c r="B5" s="6" t="s">
        <v>65</v>
      </c>
      <c r="C5" s="1" t="s">
        <v>28</v>
      </c>
      <c r="D5" s="1" t="s">
        <v>29</v>
      </c>
      <c r="E5" s="4">
        <v>9999999</v>
      </c>
      <c r="F5" s="4"/>
      <c r="G5" s="4">
        <v>3213.1233999999999</v>
      </c>
      <c r="H5" s="1" t="s">
        <v>30</v>
      </c>
      <c r="I5" s="1" t="s">
        <v>38</v>
      </c>
      <c r="J5" s="1" t="s">
        <v>32</v>
      </c>
      <c r="K5" s="4">
        <v>10</v>
      </c>
      <c r="L5" s="4">
        <v>99</v>
      </c>
      <c r="M5" s="4">
        <v>18</v>
      </c>
      <c r="N5" s="4">
        <f t="shared" si="0"/>
        <v>178.2</v>
      </c>
      <c r="O5" s="1"/>
      <c r="P5" s="1"/>
      <c r="Q5" s="4">
        <f t="shared" si="1"/>
        <v>990</v>
      </c>
      <c r="R5" s="4"/>
      <c r="S5" s="4"/>
      <c r="T5" s="4"/>
      <c r="U5" s="4"/>
      <c r="V5" s="4"/>
      <c r="W5" s="4"/>
      <c r="X5" s="4">
        <f t="shared" si="2"/>
        <v>1168.2</v>
      </c>
      <c r="Y5" s="1"/>
      <c r="Z5" s="1"/>
      <c r="AA5" s="2" t="s">
        <v>39</v>
      </c>
    </row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>
      <c r="C12" t="s">
        <v>61</v>
      </c>
    </row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3"/>
  <sheetViews>
    <sheetView topLeftCell="A49" workbookViewId="0">
      <selection activeCell="C12" sqref="C12"/>
    </sheetView>
  </sheetViews>
  <sheetFormatPr defaultColWidth="12.5703125" defaultRowHeight="12.75" x14ac:dyDescent="0.2"/>
  <cols>
    <col min="1" max="1" width="12.5703125" style="11" customWidth="1"/>
    <col min="2" max="2" width="12.5703125" style="14" customWidth="1"/>
    <col min="3" max="3" width="12.5703125" style="11" customWidth="1"/>
    <col min="4" max="4" width="15.42578125" style="11" customWidth="1"/>
    <col min="5" max="5" width="12.5703125" style="11" customWidth="1"/>
    <col min="6" max="6" width="24.28515625" style="11" customWidth="1"/>
    <col min="7" max="7" width="12.5703125" style="11" customWidth="1"/>
    <col min="8" max="8" width="31" style="11" customWidth="1"/>
    <col min="9" max="9" width="16.7109375" style="11" customWidth="1"/>
    <col min="10" max="20" width="12.5703125" style="11"/>
    <col min="21" max="21" width="14.5703125" style="11" customWidth="1"/>
    <col min="22" max="27" width="12.5703125" style="11"/>
    <col min="28" max="28" width="19.85546875" style="11" customWidth="1"/>
    <col min="29" max="16384" width="12.5703125" style="11"/>
  </cols>
  <sheetData>
    <row r="1" spans="1:29" ht="15.75" customHeight="1" x14ac:dyDescent="0.2">
      <c r="A1" s="8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11" t="s">
        <v>26</v>
      </c>
      <c r="AB1" s="11" t="s">
        <v>40</v>
      </c>
      <c r="AC1" s="11" t="s">
        <v>41</v>
      </c>
    </row>
    <row r="2" spans="1:29" ht="15.75" customHeight="1" x14ac:dyDescent="0.2">
      <c r="A2" s="10">
        <v>46144</v>
      </c>
      <c r="B2" s="15">
        <v>1228</v>
      </c>
      <c r="C2" s="8" t="s">
        <v>45</v>
      </c>
      <c r="D2" s="8" t="s">
        <v>46</v>
      </c>
      <c r="E2" s="9">
        <v>4118285</v>
      </c>
      <c r="F2" s="9"/>
      <c r="G2" s="9">
        <v>4911.1000000000004</v>
      </c>
      <c r="H2" s="8" t="s">
        <v>50</v>
      </c>
      <c r="I2" s="8"/>
      <c r="J2" s="8" t="s">
        <v>51</v>
      </c>
      <c r="K2" s="9">
        <v>2600</v>
      </c>
      <c r="L2" s="9">
        <v>38.270000000000003</v>
      </c>
      <c r="M2" s="9">
        <v>18</v>
      </c>
      <c r="N2" s="9">
        <f t="shared" ref="N2:N7" si="0">K2*L2*(M2%)</f>
        <v>17910.36</v>
      </c>
      <c r="O2" s="8"/>
      <c r="P2" s="8"/>
      <c r="Q2" s="9">
        <f t="shared" ref="Q2:Q7" si="1">K2*L2</f>
        <v>99502.000000000015</v>
      </c>
      <c r="R2" s="9">
        <v>0</v>
      </c>
      <c r="S2" s="9">
        <v>0</v>
      </c>
      <c r="T2" s="9"/>
      <c r="U2" s="9"/>
      <c r="V2" s="9"/>
      <c r="W2" s="9"/>
      <c r="X2" s="12">
        <f t="shared" ref="X2:X7" si="2">Q2+N2</f>
        <v>117412.36000000002</v>
      </c>
      <c r="Y2" s="8"/>
      <c r="Z2" s="8"/>
      <c r="AA2" s="11" t="s">
        <v>39</v>
      </c>
      <c r="AB2" s="11" t="s">
        <v>53</v>
      </c>
      <c r="AC2" s="11" t="s">
        <v>42</v>
      </c>
    </row>
    <row r="3" spans="1:29" ht="15.75" customHeight="1" x14ac:dyDescent="0.2">
      <c r="A3" s="10">
        <v>46144</v>
      </c>
      <c r="B3" s="15">
        <v>1229</v>
      </c>
      <c r="C3" s="8" t="s">
        <v>45</v>
      </c>
      <c r="D3" s="8" t="s">
        <v>46</v>
      </c>
      <c r="E3" s="9">
        <v>4118285</v>
      </c>
      <c r="F3" s="9"/>
      <c r="G3" s="9">
        <v>4811.41</v>
      </c>
      <c r="H3" s="8" t="s">
        <v>47</v>
      </c>
      <c r="I3" s="8"/>
      <c r="J3" s="8" t="s">
        <v>32</v>
      </c>
      <c r="K3" s="9">
        <v>10.2209</v>
      </c>
      <c r="L3" s="9">
        <v>1769.9114999999999</v>
      </c>
      <c r="M3" s="9">
        <v>18</v>
      </c>
      <c r="N3" s="9">
        <f t="shared" si="0"/>
        <v>3256.2159210629998</v>
      </c>
      <c r="O3" s="8"/>
      <c r="P3" s="8"/>
      <c r="Q3" s="9">
        <f t="shared" si="1"/>
        <v>18090.088450349998</v>
      </c>
      <c r="R3" s="9">
        <v>0</v>
      </c>
      <c r="S3" s="9">
        <v>0</v>
      </c>
      <c r="T3" s="9"/>
      <c r="U3" s="9"/>
      <c r="V3" s="9"/>
      <c r="W3" s="9"/>
      <c r="X3" s="12">
        <f t="shared" si="2"/>
        <v>21346.304371412996</v>
      </c>
      <c r="Y3" s="8"/>
      <c r="Z3" s="8"/>
      <c r="AB3" s="11" t="s">
        <v>53</v>
      </c>
      <c r="AC3" s="11" t="s">
        <v>42</v>
      </c>
    </row>
    <row r="4" spans="1:29" ht="15.75" customHeight="1" x14ac:dyDescent="0.2">
      <c r="A4" s="10">
        <v>46144</v>
      </c>
      <c r="B4" s="15">
        <v>1229</v>
      </c>
      <c r="C4" s="8" t="s">
        <v>45</v>
      </c>
      <c r="D4" s="8" t="s">
        <v>46</v>
      </c>
      <c r="E4" s="9">
        <v>4118285</v>
      </c>
      <c r="F4" s="9"/>
      <c r="G4" s="9">
        <v>4811.41</v>
      </c>
      <c r="H4" s="8" t="s">
        <v>48</v>
      </c>
      <c r="I4" s="8"/>
      <c r="J4" s="8" t="s">
        <v>32</v>
      </c>
      <c r="K4" s="9">
        <v>6.3448000000000002</v>
      </c>
      <c r="L4" s="9">
        <v>1928.5714</v>
      </c>
      <c r="M4" s="9">
        <v>18</v>
      </c>
      <c r="N4" s="9">
        <f t="shared" si="0"/>
        <v>2202.5519673696003</v>
      </c>
      <c r="O4" s="8"/>
      <c r="P4" s="8"/>
      <c r="Q4" s="9">
        <f t="shared" si="1"/>
        <v>12236.399818720001</v>
      </c>
      <c r="R4" s="9">
        <v>0</v>
      </c>
      <c r="S4" s="9">
        <v>0</v>
      </c>
      <c r="T4" s="9"/>
      <c r="U4" s="9"/>
      <c r="V4" s="9"/>
      <c r="W4" s="9"/>
      <c r="X4" s="12">
        <f t="shared" si="2"/>
        <v>14438.951786089601</v>
      </c>
      <c r="Y4" s="8"/>
      <c r="Z4" s="8"/>
      <c r="AB4" s="11" t="s">
        <v>53</v>
      </c>
      <c r="AC4" s="11" t="s">
        <v>42</v>
      </c>
    </row>
    <row r="5" spans="1:29" ht="15.75" customHeight="1" x14ac:dyDescent="0.25">
      <c r="A5" s="10">
        <v>46144</v>
      </c>
      <c r="B5" s="15">
        <v>1229</v>
      </c>
      <c r="C5" s="8" t="s">
        <v>45</v>
      </c>
      <c r="D5" s="8" t="s">
        <v>46</v>
      </c>
      <c r="E5" s="9">
        <v>4118285</v>
      </c>
      <c r="F5" s="9"/>
      <c r="G5" s="9">
        <v>5807.1090000000004</v>
      </c>
      <c r="H5" s="13" t="s">
        <v>49</v>
      </c>
      <c r="I5" s="8"/>
      <c r="J5" s="8" t="s">
        <v>32</v>
      </c>
      <c r="K5" s="9">
        <v>18.233899999999998</v>
      </c>
      <c r="L5" s="9">
        <v>6086.9565000000002</v>
      </c>
      <c r="M5" s="9">
        <v>18</v>
      </c>
      <c r="N5" s="9">
        <f t="shared" si="0"/>
        <v>19978.012102563</v>
      </c>
      <c r="O5" s="8"/>
      <c r="P5" s="8"/>
      <c r="Q5" s="9">
        <f t="shared" si="1"/>
        <v>110988.95612535</v>
      </c>
      <c r="R5" s="9">
        <v>0</v>
      </c>
      <c r="S5" s="9">
        <v>0</v>
      </c>
      <c r="T5" s="9"/>
      <c r="U5" s="9"/>
      <c r="V5" s="9"/>
      <c r="W5" s="9"/>
      <c r="X5" s="12">
        <f t="shared" si="2"/>
        <v>130966.96822791299</v>
      </c>
      <c r="Y5" s="8"/>
      <c r="Z5" s="8"/>
      <c r="AB5" s="11" t="s">
        <v>53</v>
      </c>
      <c r="AC5" s="11" t="s">
        <v>42</v>
      </c>
    </row>
    <row r="6" spans="1:29" ht="15.75" customHeight="1" x14ac:dyDescent="0.2">
      <c r="A6" s="10">
        <v>46144</v>
      </c>
      <c r="B6" s="15">
        <v>1229</v>
      </c>
      <c r="C6" s="8" t="s">
        <v>45</v>
      </c>
      <c r="D6" s="8" t="s">
        <v>46</v>
      </c>
      <c r="E6" s="9">
        <v>4118285</v>
      </c>
      <c r="F6" s="9"/>
      <c r="G6" s="9">
        <v>4911.1000000000004</v>
      </c>
      <c r="H6" s="8" t="s">
        <v>50</v>
      </c>
      <c r="I6" s="8"/>
      <c r="J6" s="8" t="s">
        <v>51</v>
      </c>
      <c r="K6" s="9">
        <v>882</v>
      </c>
      <c r="L6" s="9">
        <v>31</v>
      </c>
      <c r="M6" s="9">
        <v>18</v>
      </c>
      <c r="N6" s="9">
        <f t="shared" si="0"/>
        <v>4921.5599999999995</v>
      </c>
      <c r="O6" s="8"/>
      <c r="P6" s="8"/>
      <c r="Q6" s="9">
        <f t="shared" si="1"/>
        <v>27342</v>
      </c>
      <c r="R6" s="9">
        <v>0</v>
      </c>
      <c r="S6" s="9">
        <v>0</v>
      </c>
      <c r="T6" s="9"/>
      <c r="U6" s="9"/>
      <c r="V6" s="9"/>
      <c r="W6" s="9"/>
      <c r="X6" s="12">
        <f t="shared" si="2"/>
        <v>32263.559999999998</v>
      </c>
      <c r="Y6" s="8"/>
      <c r="Z6" s="8"/>
      <c r="AB6" s="11" t="s">
        <v>53</v>
      </c>
      <c r="AC6" s="11" t="s">
        <v>42</v>
      </c>
    </row>
    <row r="7" spans="1:29" ht="15.75" customHeight="1" x14ac:dyDescent="0.2">
      <c r="A7" s="10">
        <v>46144</v>
      </c>
      <c r="B7" s="15">
        <v>1230</v>
      </c>
      <c r="C7" s="8" t="s">
        <v>45</v>
      </c>
      <c r="D7" s="8" t="s">
        <v>46</v>
      </c>
      <c r="E7" s="9">
        <v>4118285</v>
      </c>
      <c r="G7" s="9">
        <v>4821.1040000000003</v>
      </c>
      <c r="H7" s="8" t="s">
        <v>52</v>
      </c>
      <c r="J7" s="8" t="s">
        <v>32</v>
      </c>
      <c r="K7" s="11">
        <v>63.77</v>
      </c>
      <c r="L7" s="9">
        <v>2238.6388999999999</v>
      </c>
      <c r="M7" s="9">
        <v>18</v>
      </c>
      <c r="N7" s="9">
        <f t="shared" si="0"/>
        <v>25696.44047754</v>
      </c>
      <c r="Q7" s="9">
        <f t="shared" si="1"/>
        <v>142758.002653</v>
      </c>
      <c r="R7" s="9">
        <v>0</v>
      </c>
      <c r="S7" s="9">
        <v>0</v>
      </c>
      <c r="X7" s="12">
        <f t="shared" si="2"/>
        <v>168454.44313053999</v>
      </c>
      <c r="AB7" s="11" t="s">
        <v>53</v>
      </c>
      <c r="AC7" s="11" t="s">
        <v>42</v>
      </c>
    </row>
    <row r="8" spans="1:29" ht="15.75" customHeight="1" x14ac:dyDescent="0.2">
      <c r="A8" s="10">
        <v>46144</v>
      </c>
      <c r="B8" s="15">
        <v>1231</v>
      </c>
      <c r="C8" s="8" t="s">
        <v>45</v>
      </c>
      <c r="D8" s="8" t="s">
        <v>46</v>
      </c>
      <c r="E8" s="9">
        <v>4118285</v>
      </c>
      <c r="F8" s="9"/>
      <c r="G8" s="9">
        <v>4811.41</v>
      </c>
      <c r="H8" s="8" t="s">
        <v>47</v>
      </c>
      <c r="I8" s="8"/>
      <c r="J8" s="8" t="s">
        <v>32</v>
      </c>
      <c r="K8" s="9">
        <v>1.3049999999999999</v>
      </c>
      <c r="L8" s="9">
        <v>1100</v>
      </c>
      <c r="M8" s="9">
        <v>18</v>
      </c>
      <c r="N8" s="9">
        <f t="shared" ref="N8" si="3">K8*L8*(M8%)</f>
        <v>258.39</v>
      </c>
      <c r="O8" s="8"/>
      <c r="P8" s="8"/>
      <c r="Q8" s="9">
        <f t="shared" ref="Q8" si="4">K8*L8</f>
        <v>1435.5</v>
      </c>
      <c r="R8" s="9">
        <v>0</v>
      </c>
      <c r="S8" s="9">
        <v>0</v>
      </c>
      <c r="T8" s="9"/>
      <c r="U8" s="9"/>
      <c r="V8" s="9"/>
      <c r="W8" s="9"/>
      <c r="X8" s="12">
        <f t="shared" ref="X8" si="5">Q8+N8</f>
        <v>1693.8899999999999</v>
      </c>
      <c r="Y8" s="8"/>
      <c r="Z8" s="8"/>
      <c r="AB8" s="11" t="s">
        <v>53</v>
      </c>
      <c r="AC8" s="11" t="s">
        <v>42</v>
      </c>
    </row>
    <row r="9" spans="1:29" ht="15.75" customHeight="1" x14ac:dyDescent="0.2">
      <c r="A9" s="10">
        <v>46144</v>
      </c>
      <c r="B9" s="15">
        <v>1232</v>
      </c>
      <c r="C9" s="8" t="s">
        <v>45</v>
      </c>
      <c r="D9" s="8" t="s">
        <v>46</v>
      </c>
      <c r="E9" s="9">
        <v>4118285</v>
      </c>
      <c r="F9" s="9"/>
      <c r="G9" s="9">
        <v>4811.41</v>
      </c>
      <c r="H9" s="8" t="s">
        <v>47</v>
      </c>
      <c r="I9" s="8"/>
      <c r="J9" s="8" t="s">
        <v>32</v>
      </c>
      <c r="K9" s="9">
        <v>2.0150000000000001</v>
      </c>
      <c r="L9" s="9">
        <v>1100</v>
      </c>
      <c r="M9" s="9">
        <v>18</v>
      </c>
      <c r="N9" s="9">
        <f t="shared" ref="N9:N11" si="6">K9*L9*(M9%)</f>
        <v>398.96999999999997</v>
      </c>
      <c r="O9" s="8"/>
      <c r="P9" s="8"/>
      <c r="Q9" s="9">
        <f t="shared" ref="Q9:Q11" si="7">K9*L9</f>
        <v>2216.5</v>
      </c>
      <c r="R9" s="9">
        <v>0</v>
      </c>
      <c r="S9" s="9">
        <v>0</v>
      </c>
      <c r="T9" s="9"/>
      <c r="U9" s="9"/>
      <c r="V9" s="9"/>
      <c r="W9" s="9"/>
      <c r="X9" s="12">
        <f t="shared" ref="X9:X11" si="8">Q9+N9</f>
        <v>2615.4699999999998</v>
      </c>
      <c r="Y9" s="8"/>
      <c r="Z9" s="8"/>
      <c r="AB9" s="11" t="s">
        <v>53</v>
      </c>
      <c r="AC9" s="11" t="s">
        <v>42</v>
      </c>
    </row>
    <row r="10" spans="1:29" ht="15.75" customHeight="1" x14ac:dyDescent="0.2">
      <c r="A10" s="10">
        <v>46144</v>
      </c>
      <c r="B10" s="15">
        <v>1232</v>
      </c>
      <c r="C10" s="8" t="s">
        <v>45</v>
      </c>
      <c r="D10" s="8" t="s">
        <v>46</v>
      </c>
      <c r="E10" s="9">
        <v>4118285</v>
      </c>
      <c r="G10" s="9">
        <v>4821.1040000000003</v>
      </c>
      <c r="H10" s="8" t="s">
        <v>52</v>
      </c>
      <c r="J10" s="8" t="s">
        <v>32</v>
      </c>
      <c r="K10" s="11">
        <v>13.3094</v>
      </c>
      <c r="L10" s="9">
        <v>2307.6923000000002</v>
      </c>
      <c r="M10" s="9">
        <v>18</v>
      </c>
      <c r="N10" s="9">
        <f t="shared" si="6"/>
        <v>5528.5199815716005</v>
      </c>
      <c r="Q10" s="9">
        <f t="shared" si="7"/>
        <v>30713.999897620004</v>
      </c>
      <c r="R10" s="9">
        <v>0</v>
      </c>
      <c r="S10" s="9">
        <v>0</v>
      </c>
      <c r="X10" s="12">
        <f t="shared" si="8"/>
        <v>36242.519879191605</v>
      </c>
      <c r="AB10" s="11" t="s">
        <v>53</v>
      </c>
      <c r="AC10" s="11" t="s">
        <v>42</v>
      </c>
    </row>
    <row r="11" spans="1:29" ht="15.75" customHeight="1" x14ac:dyDescent="0.25">
      <c r="A11" s="10">
        <v>46144</v>
      </c>
      <c r="B11" s="15">
        <v>1232</v>
      </c>
      <c r="C11" s="8" t="s">
        <v>45</v>
      </c>
      <c r="D11" s="8" t="s">
        <v>46</v>
      </c>
      <c r="E11" s="9">
        <v>4118285</v>
      </c>
      <c r="F11" s="9"/>
      <c r="G11" s="9">
        <v>5807.1090000000004</v>
      </c>
      <c r="H11" s="13" t="s">
        <v>49</v>
      </c>
      <c r="I11" s="8"/>
      <c r="J11" s="8" t="s">
        <v>32</v>
      </c>
      <c r="K11" s="9">
        <v>6.6151999999999997</v>
      </c>
      <c r="L11" s="9">
        <v>1143.4511</v>
      </c>
      <c r="M11" s="9">
        <v>18</v>
      </c>
      <c r="N11" s="9">
        <f t="shared" si="6"/>
        <v>1361.5483890095998</v>
      </c>
      <c r="O11" s="8"/>
      <c r="P11" s="8"/>
      <c r="Q11" s="9">
        <f t="shared" si="7"/>
        <v>7564.1577167199994</v>
      </c>
      <c r="R11" s="9">
        <v>0</v>
      </c>
      <c r="S11" s="9">
        <v>0</v>
      </c>
      <c r="T11" s="9"/>
      <c r="U11" s="9"/>
      <c r="V11" s="9"/>
      <c r="W11" s="9"/>
      <c r="X11" s="12">
        <f t="shared" si="8"/>
        <v>8925.7061057295996</v>
      </c>
      <c r="Y11" s="8"/>
      <c r="Z11" s="8"/>
      <c r="AB11" s="11" t="s">
        <v>53</v>
      </c>
      <c r="AC11" s="11" t="s">
        <v>42</v>
      </c>
    </row>
    <row r="12" spans="1:29" ht="15.75" customHeight="1" x14ac:dyDescent="0.2">
      <c r="A12" s="10">
        <v>46146</v>
      </c>
      <c r="B12" s="15">
        <v>1233</v>
      </c>
      <c r="C12" s="8" t="s">
        <v>45</v>
      </c>
      <c r="D12" s="8" t="s">
        <v>46</v>
      </c>
      <c r="E12" s="9">
        <v>4118285</v>
      </c>
      <c r="F12" s="9"/>
      <c r="G12" s="9">
        <v>4811.41</v>
      </c>
      <c r="H12" s="8" t="s">
        <v>47</v>
      </c>
      <c r="I12" s="8"/>
      <c r="J12" s="8" t="s">
        <v>32</v>
      </c>
      <c r="K12" s="9">
        <v>3.33</v>
      </c>
      <c r="L12" s="9">
        <v>1100</v>
      </c>
      <c r="M12" s="9">
        <v>18</v>
      </c>
      <c r="N12" s="9">
        <f t="shared" ref="N12:N15" si="9">K12*L12*(M12%)</f>
        <v>659.34</v>
      </c>
      <c r="O12" s="8"/>
      <c r="P12" s="8"/>
      <c r="Q12" s="9">
        <f t="shared" ref="Q12:Q15" si="10">K12*L12</f>
        <v>3663</v>
      </c>
      <c r="R12" s="9">
        <v>0</v>
      </c>
      <c r="S12" s="9">
        <v>0</v>
      </c>
      <c r="T12" s="9"/>
      <c r="U12" s="9"/>
      <c r="V12" s="9"/>
      <c r="W12" s="9"/>
      <c r="X12" s="12">
        <f t="shared" ref="X12:X15" si="11">Q12+N12</f>
        <v>4322.34</v>
      </c>
      <c r="Y12" s="8"/>
      <c r="Z12" s="8"/>
      <c r="AB12" s="11" t="s">
        <v>53</v>
      </c>
      <c r="AC12" s="11" t="s">
        <v>42</v>
      </c>
    </row>
    <row r="13" spans="1:29" ht="15.75" customHeight="1" x14ac:dyDescent="0.2">
      <c r="A13" s="10">
        <v>46146</v>
      </c>
      <c r="B13" s="15">
        <v>1233</v>
      </c>
      <c r="C13" s="8" t="s">
        <v>45</v>
      </c>
      <c r="D13" s="8" t="s">
        <v>46</v>
      </c>
      <c r="E13" s="9">
        <v>4118285</v>
      </c>
      <c r="G13" s="9">
        <v>4821.1040000000003</v>
      </c>
      <c r="H13" s="8" t="s">
        <v>52</v>
      </c>
      <c r="J13" s="8" t="s">
        <v>32</v>
      </c>
      <c r="K13" s="11">
        <v>47.383699999999997</v>
      </c>
      <c r="L13" s="9">
        <v>2307.6923000000002</v>
      </c>
      <c r="M13" s="9">
        <v>18</v>
      </c>
      <c r="N13" s="9">
        <f t="shared" si="9"/>
        <v>19682.459934391798</v>
      </c>
      <c r="Q13" s="9">
        <f t="shared" si="10"/>
        <v>109346.99963551</v>
      </c>
      <c r="R13" s="9">
        <v>0</v>
      </c>
      <c r="S13" s="9">
        <v>0</v>
      </c>
      <c r="X13" s="12">
        <f t="shared" si="11"/>
        <v>129029.4595699018</v>
      </c>
      <c r="AB13" s="11" t="s">
        <v>53</v>
      </c>
      <c r="AC13" s="11" t="s">
        <v>42</v>
      </c>
    </row>
    <row r="14" spans="1:29" ht="15.75" customHeight="1" x14ac:dyDescent="0.25">
      <c r="A14" s="10">
        <v>46146</v>
      </c>
      <c r="B14" s="15">
        <v>1233</v>
      </c>
      <c r="C14" s="8" t="s">
        <v>45</v>
      </c>
      <c r="D14" s="8" t="s">
        <v>46</v>
      </c>
      <c r="E14" s="9">
        <v>4118285</v>
      </c>
      <c r="F14" s="9"/>
      <c r="G14" s="9">
        <v>5807.1090000000004</v>
      </c>
      <c r="H14" s="13" t="s">
        <v>49</v>
      </c>
      <c r="I14" s="8"/>
      <c r="J14" s="8" t="s">
        <v>32</v>
      </c>
      <c r="K14" s="9">
        <v>17.490100000000002</v>
      </c>
      <c r="L14" s="9">
        <v>1143.4511</v>
      </c>
      <c r="M14" s="9">
        <v>18</v>
      </c>
      <c r="N14" s="9">
        <f t="shared" si="9"/>
        <v>3599.8333351398001</v>
      </c>
      <c r="O14" s="8"/>
      <c r="P14" s="8"/>
      <c r="Q14" s="9">
        <f t="shared" si="10"/>
        <v>19999.074084110001</v>
      </c>
      <c r="R14" s="9">
        <v>0</v>
      </c>
      <c r="S14" s="9">
        <v>0</v>
      </c>
      <c r="T14" s="9"/>
      <c r="U14" s="9"/>
      <c r="V14" s="9"/>
      <c r="W14" s="9"/>
      <c r="X14" s="12">
        <f t="shared" si="11"/>
        <v>23598.907419249801</v>
      </c>
      <c r="Y14" s="8"/>
      <c r="Z14" s="8"/>
      <c r="AB14" s="11" t="s">
        <v>53</v>
      </c>
      <c r="AC14" s="11" t="s">
        <v>42</v>
      </c>
    </row>
    <row r="15" spans="1:29" ht="15.75" customHeight="1" x14ac:dyDescent="0.2">
      <c r="A15" s="10">
        <v>46148</v>
      </c>
      <c r="B15" s="14">
        <v>2052</v>
      </c>
      <c r="C15" s="8" t="s">
        <v>45</v>
      </c>
      <c r="D15" s="8" t="s">
        <v>54</v>
      </c>
      <c r="E15" s="9">
        <v>2892996</v>
      </c>
      <c r="G15" s="9">
        <v>4811.41</v>
      </c>
      <c r="H15" s="8" t="s">
        <v>48</v>
      </c>
      <c r="I15" s="8"/>
      <c r="J15" s="8" t="s">
        <v>32</v>
      </c>
      <c r="K15" s="9">
        <v>5.7542999999999997</v>
      </c>
      <c r="L15" s="9">
        <v>1292.5170000000001</v>
      </c>
      <c r="M15" s="9">
        <v>18</v>
      </c>
      <c r="N15" s="9">
        <f t="shared" si="9"/>
        <v>1338.755503158</v>
      </c>
      <c r="O15" s="8"/>
      <c r="P15" s="8"/>
      <c r="Q15" s="9">
        <f t="shared" si="10"/>
        <v>7437.5305730999999</v>
      </c>
      <c r="R15" s="9">
        <v>0</v>
      </c>
      <c r="S15" s="9">
        <v>0</v>
      </c>
      <c r="T15" s="9"/>
      <c r="U15" s="9"/>
      <c r="V15" s="9"/>
      <c r="W15" s="9"/>
      <c r="X15" s="12">
        <f t="shared" si="11"/>
        <v>8776.2860762580003</v>
      </c>
      <c r="Y15" s="8"/>
      <c r="Z15" s="8"/>
      <c r="AB15" s="11" t="s">
        <v>55</v>
      </c>
      <c r="AC15" s="11" t="s">
        <v>42</v>
      </c>
    </row>
    <row r="16" spans="1:29" ht="15.75" customHeight="1" x14ac:dyDescent="0.2">
      <c r="A16" s="10">
        <v>46148</v>
      </c>
      <c r="B16" s="14">
        <v>2052</v>
      </c>
      <c r="C16" s="8" t="s">
        <v>45</v>
      </c>
      <c r="D16" s="8" t="s">
        <v>54</v>
      </c>
      <c r="E16" s="9">
        <v>2892996</v>
      </c>
      <c r="G16" s="9">
        <v>4821.1040000000003</v>
      </c>
      <c r="H16" s="8" t="s">
        <v>52</v>
      </c>
      <c r="J16" s="8" t="s">
        <v>32</v>
      </c>
      <c r="K16" s="11">
        <v>12.625</v>
      </c>
      <c r="L16" s="9">
        <v>1760</v>
      </c>
      <c r="M16" s="9">
        <v>18</v>
      </c>
      <c r="N16" s="9">
        <f t="shared" ref="N16:N17" si="12">K16*L16*(M16%)</f>
        <v>3999.6</v>
      </c>
      <c r="Q16" s="9">
        <f t="shared" ref="Q16:Q17" si="13">K16*L16</f>
        <v>22220</v>
      </c>
      <c r="R16" s="9">
        <v>0</v>
      </c>
      <c r="S16" s="9">
        <v>0</v>
      </c>
      <c r="X16" s="12">
        <f t="shared" ref="X16:X17" si="14">Q16+N16</f>
        <v>26219.599999999999</v>
      </c>
      <c r="AB16" s="11" t="s">
        <v>55</v>
      </c>
    </row>
    <row r="17" spans="1:29" ht="15.75" customHeight="1" x14ac:dyDescent="0.2">
      <c r="A17" s="10">
        <v>46148</v>
      </c>
      <c r="B17" s="14">
        <v>2053</v>
      </c>
      <c r="C17" s="8" t="s">
        <v>45</v>
      </c>
      <c r="D17" s="8" t="s">
        <v>54</v>
      </c>
      <c r="E17" s="9">
        <v>2892996</v>
      </c>
      <c r="G17" s="9">
        <v>4811.41</v>
      </c>
      <c r="H17" s="8" t="s">
        <v>48</v>
      </c>
      <c r="I17" s="8"/>
      <c r="J17" s="8" t="s">
        <v>32</v>
      </c>
      <c r="K17" s="9">
        <v>5.5572999999999997</v>
      </c>
      <c r="L17" s="9">
        <v>1292.5170000000001</v>
      </c>
      <c r="M17" s="9">
        <v>18</v>
      </c>
      <c r="N17" s="9">
        <f t="shared" si="12"/>
        <v>1292.922850338</v>
      </c>
      <c r="O17" s="8"/>
      <c r="P17" s="8"/>
      <c r="Q17" s="9">
        <f t="shared" si="13"/>
        <v>7182.9047240999998</v>
      </c>
      <c r="R17" s="9">
        <v>0</v>
      </c>
      <c r="S17" s="9">
        <v>0</v>
      </c>
      <c r="T17" s="9"/>
      <c r="U17" s="9"/>
      <c r="V17" s="9"/>
      <c r="W17" s="9"/>
      <c r="X17" s="12">
        <f t="shared" si="14"/>
        <v>8475.8275744380007</v>
      </c>
      <c r="Y17" s="8"/>
      <c r="Z17" s="8"/>
      <c r="AB17" s="11" t="s">
        <v>55</v>
      </c>
      <c r="AC17" s="11" t="s">
        <v>42</v>
      </c>
    </row>
    <row r="18" spans="1:29" ht="15.75" customHeight="1" x14ac:dyDescent="0.2">
      <c r="A18" s="10">
        <v>46148</v>
      </c>
      <c r="B18" s="14">
        <v>2053</v>
      </c>
      <c r="C18" s="8" t="s">
        <v>45</v>
      </c>
      <c r="D18" s="8" t="s">
        <v>54</v>
      </c>
      <c r="E18" s="9">
        <v>2892996</v>
      </c>
      <c r="G18" s="9">
        <v>4821.1040000000003</v>
      </c>
      <c r="H18" s="8" t="s">
        <v>52</v>
      </c>
      <c r="J18" s="8" t="s">
        <v>32</v>
      </c>
      <c r="K18" s="11">
        <v>18.25</v>
      </c>
      <c r="L18" s="9">
        <v>1760</v>
      </c>
      <c r="M18" s="9">
        <v>18</v>
      </c>
      <c r="N18" s="9">
        <f t="shared" ref="N18:N19" si="15">K18*L18*(M18%)</f>
        <v>5781.5999999999995</v>
      </c>
      <c r="Q18" s="9">
        <f t="shared" ref="Q18:Q19" si="16">K18*L18</f>
        <v>32120</v>
      </c>
      <c r="R18" s="9">
        <v>0</v>
      </c>
      <c r="S18" s="9">
        <v>0</v>
      </c>
      <c r="X18" s="12">
        <f t="shared" ref="X18:X19" si="17">Q18+N18</f>
        <v>37901.599999999999</v>
      </c>
      <c r="AB18" s="11" t="s">
        <v>55</v>
      </c>
    </row>
    <row r="19" spans="1:29" ht="15.75" customHeight="1" x14ac:dyDescent="0.2">
      <c r="A19" s="10">
        <v>46148</v>
      </c>
      <c r="B19" s="14">
        <v>2054</v>
      </c>
      <c r="C19" s="8" t="s">
        <v>45</v>
      </c>
      <c r="D19" s="8" t="s">
        <v>54</v>
      </c>
      <c r="E19" s="9">
        <v>2892996</v>
      </c>
      <c r="G19" s="9">
        <v>4811.41</v>
      </c>
      <c r="H19" s="8" t="s">
        <v>48</v>
      </c>
      <c r="I19" s="8"/>
      <c r="J19" s="8" t="s">
        <v>32</v>
      </c>
      <c r="K19" s="9">
        <v>3.7059000000000002</v>
      </c>
      <c r="L19" s="9">
        <v>1292.5170000000001</v>
      </c>
      <c r="M19" s="9">
        <v>18</v>
      </c>
      <c r="N19" s="9">
        <f t="shared" si="15"/>
        <v>862.18897505400014</v>
      </c>
      <c r="O19" s="8"/>
      <c r="P19" s="8"/>
      <c r="Q19" s="9">
        <f t="shared" si="16"/>
        <v>4789.9387503000007</v>
      </c>
      <c r="R19" s="9">
        <v>0</v>
      </c>
      <c r="S19" s="9">
        <v>0</v>
      </c>
      <c r="T19" s="9"/>
      <c r="U19" s="9"/>
      <c r="V19" s="9"/>
      <c r="W19" s="9"/>
      <c r="X19" s="12">
        <f t="shared" si="17"/>
        <v>5652.1277253540011</v>
      </c>
      <c r="Y19" s="8"/>
      <c r="Z19" s="8"/>
      <c r="AB19" s="11" t="s">
        <v>55</v>
      </c>
      <c r="AC19" s="11" t="s">
        <v>42</v>
      </c>
    </row>
    <row r="20" spans="1:29" ht="15.75" customHeight="1" x14ac:dyDescent="0.2">
      <c r="A20" s="10">
        <v>46148</v>
      </c>
      <c r="B20" s="14">
        <v>2054</v>
      </c>
      <c r="C20" s="8" t="s">
        <v>45</v>
      </c>
      <c r="D20" s="8" t="s">
        <v>54</v>
      </c>
      <c r="E20" s="9">
        <v>2892996</v>
      </c>
      <c r="G20" s="9">
        <v>4821.1040000000003</v>
      </c>
      <c r="H20" s="8" t="s">
        <v>52</v>
      </c>
      <c r="J20" s="8" t="s">
        <v>32</v>
      </c>
      <c r="K20" s="11">
        <v>6</v>
      </c>
      <c r="L20" s="9">
        <v>1760</v>
      </c>
      <c r="M20" s="9">
        <v>18</v>
      </c>
      <c r="N20" s="9">
        <f t="shared" ref="N20:N25" si="18">K20*L20*(M20%)</f>
        <v>1900.8</v>
      </c>
      <c r="Q20" s="9">
        <f t="shared" ref="Q20:Q25" si="19">K20*L20</f>
        <v>10560</v>
      </c>
      <c r="R20" s="9">
        <v>0</v>
      </c>
      <c r="S20" s="9">
        <v>0</v>
      </c>
      <c r="X20" s="12">
        <f t="shared" ref="X20:X25" si="20">Q20+N20</f>
        <v>12460.8</v>
      </c>
      <c r="AB20" s="11" t="s">
        <v>55</v>
      </c>
    </row>
    <row r="21" spans="1:29" ht="15.75" customHeight="1" x14ac:dyDescent="0.2">
      <c r="A21" s="10">
        <v>46148</v>
      </c>
      <c r="B21" s="14">
        <v>2085</v>
      </c>
      <c r="C21" s="8" t="s">
        <v>45</v>
      </c>
      <c r="D21" s="8" t="s">
        <v>56</v>
      </c>
      <c r="E21" s="9">
        <v>4021783</v>
      </c>
      <c r="G21" s="9">
        <v>4811.41</v>
      </c>
      <c r="H21" s="8" t="s">
        <v>47</v>
      </c>
      <c r="I21" s="8"/>
      <c r="J21" s="8" t="s">
        <v>32</v>
      </c>
      <c r="K21" s="9">
        <v>9.3564000000000007</v>
      </c>
      <c r="L21" s="9">
        <v>1769.9114999999999</v>
      </c>
      <c r="M21" s="9">
        <v>18</v>
      </c>
      <c r="N21" s="9">
        <f t="shared" si="18"/>
        <v>2980.7999925480003</v>
      </c>
      <c r="O21" s="8"/>
      <c r="P21" s="8"/>
      <c r="Q21" s="9">
        <f t="shared" si="19"/>
        <v>16559.999958600001</v>
      </c>
      <c r="R21" s="9">
        <v>0</v>
      </c>
      <c r="S21" s="9">
        <v>0</v>
      </c>
      <c r="T21" s="9"/>
      <c r="U21" s="9"/>
      <c r="V21" s="9"/>
      <c r="W21" s="9"/>
      <c r="X21" s="12">
        <f t="shared" si="20"/>
        <v>19540.799951148001</v>
      </c>
      <c r="Y21" s="8"/>
      <c r="Z21" s="8"/>
      <c r="AB21" s="11" t="s">
        <v>57</v>
      </c>
      <c r="AC21" s="11" t="s">
        <v>42</v>
      </c>
    </row>
    <row r="22" spans="1:29" ht="15.75" customHeight="1" x14ac:dyDescent="0.2">
      <c r="A22" s="10">
        <v>46148</v>
      </c>
      <c r="B22" s="14">
        <v>2085</v>
      </c>
      <c r="C22" s="8" t="s">
        <v>45</v>
      </c>
      <c r="D22" s="8" t="s">
        <v>56</v>
      </c>
      <c r="E22" s="9">
        <v>4021783</v>
      </c>
      <c r="G22" s="9">
        <v>4811.41</v>
      </c>
      <c r="H22" s="8" t="s">
        <v>48</v>
      </c>
      <c r="I22" s="8"/>
      <c r="J22" s="8" t="s">
        <v>32</v>
      </c>
      <c r="K22" s="9">
        <v>5.7967000000000004</v>
      </c>
      <c r="L22" s="9">
        <v>1928.5714</v>
      </c>
      <c r="M22" s="9">
        <v>18</v>
      </c>
      <c r="N22" s="9">
        <f t="shared" si="18"/>
        <v>2012.2829701884</v>
      </c>
      <c r="O22" s="8"/>
      <c r="P22" s="8"/>
      <c r="Q22" s="9">
        <f t="shared" si="19"/>
        <v>11179.34983438</v>
      </c>
      <c r="R22" s="9">
        <v>0</v>
      </c>
      <c r="S22" s="9">
        <v>0</v>
      </c>
      <c r="T22" s="9"/>
      <c r="U22" s="9"/>
      <c r="V22" s="9"/>
      <c r="W22" s="9"/>
      <c r="X22" s="12">
        <f t="shared" si="20"/>
        <v>13191.6328045684</v>
      </c>
      <c r="Y22" s="8"/>
      <c r="Z22" s="8"/>
      <c r="AB22" s="11" t="s">
        <v>57</v>
      </c>
      <c r="AC22" s="11" t="s">
        <v>42</v>
      </c>
    </row>
    <row r="23" spans="1:29" ht="15.75" customHeight="1" x14ac:dyDescent="0.25">
      <c r="A23" s="10">
        <v>46148</v>
      </c>
      <c r="B23" s="14">
        <v>2085</v>
      </c>
      <c r="C23" s="8" t="s">
        <v>45</v>
      </c>
      <c r="D23" s="8" t="s">
        <v>56</v>
      </c>
      <c r="E23" s="9">
        <v>4021783</v>
      </c>
      <c r="G23" s="9">
        <v>5807.1090000000004</v>
      </c>
      <c r="H23" s="13" t="s">
        <v>49</v>
      </c>
      <c r="I23" s="8"/>
      <c r="J23" s="8" t="s">
        <v>32</v>
      </c>
      <c r="K23" s="9">
        <v>16.5885</v>
      </c>
      <c r="L23" s="9">
        <v>6870.2290000000003</v>
      </c>
      <c r="M23" s="9">
        <v>18</v>
      </c>
      <c r="N23" s="9">
        <f t="shared" si="18"/>
        <v>20514.022877970001</v>
      </c>
      <c r="O23" s="8"/>
      <c r="P23" s="8"/>
      <c r="Q23" s="9">
        <f t="shared" si="19"/>
        <v>113966.79376650001</v>
      </c>
      <c r="R23" s="9">
        <v>0</v>
      </c>
      <c r="S23" s="9">
        <v>0</v>
      </c>
      <c r="T23" s="9"/>
      <c r="U23" s="9"/>
      <c r="V23" s="9"/>
      <c r="W23" s="9"/>
      <c r="X23" s="12">
        <f t="shared" si="20"/>
        <v>134480.81664447</v>
      </c>
      <c r="Y23" s="8"/>
      <c r="Z23" s="8"/>
      <c r="AB23" s="11" t="s">
        <v>57</v>
      </c>
      <c r="AC23" s="11" t="s">
        <v>42</v>
      </c>
    </row>
    <row r="24" spans="1:29" ht="15.75" customHeight="1" x14ac:dyDescent="0.2">
      <c r="A24" s="10">
        <v>46148</v>
      </c>
      <c r="B24" s="14">
        <v>2085</v>
      </c>
      <c r="C24" s="8" t="s">
        <v>45</v>
      </c>
      <c r="D24" s="8" t="s">
        <v>56</v>
      </c>
      <c r="E24" s="9">
        <v>4021783</v>
      </c>
      <c r="G24" s="9">
        <v>4911.1000000000004</v>
      </c>
      <c r="H24" s="8" t="s">
        <v>50</v>
      </c>
      <c r="I24" s="8"/>
      <c r="J24" s="8" t="s">
        <v>51</v>
      </c>
      <c r="K24" s="9">
        <v>814</v>
      </c>
      <c r="L24" s="9">
        <v>31</v>
      </c>
      <c r="M24" s="9">
        <v>18</v>
      </c>
      <c r="N24" s="9">
        <f t="shared" si="18"/>
        <v>4542.12</v>
      </c>
      <c r="O24" s="8"/>
      <c r="P24" s="8"/>
      <c r="Q24" s="9">
        <f t="shared" si="19"/>
        <v>25234</v>
      </c>
      <c r="R24" s="9">
        <v>0</v>
      </c>
      <c r="S24" s="9">
        <v>0</v>
      </c>
      <c r="T24" s="9"/>
      <c r="U24" s="9"/>
      <c r="V24" s="9"/>
      <c r="W24" s="9"/>
      <c r="X24" s="12">
        <f t="shared" si="20"/>
        <v>29776.12</v>
      </c>
      <c r="Y24" s="8"/>
      <c r="Z24" s="8"/>
      <c r="AB24" s="11" t="s">
        <v>57</v>
      </c>
      <c r="AC24" s="11" t="s">
        <v>42</v>
      </c>
    </row>
    <row r="25" spans="1:29" ht="15.75" customHeight="1" x14ac:dyDescent="0.2">
      <c r="A25" s="10">
        <v>46148</v>
      </c>
      <c r="B25" s="14">
        <v>2085</v>
      </c>
      <c r="C25" s="8" t="s">
        <v>45</v>
      </c>
      <c r="D25" s="8" t="s">
        <v>56</v>
      </c>
      <c r="E25" s="9">
        <v>4021783</v>
      </c>
      <c r="G25" s="9">
        <v>4821.1040000000003</v>
      </c>
      <c r="H25" s="8" t="s">
        <v>52</v>
      </c>
      <c r="J25" s="8" t="s">
        <v>32</v>
      </c>
      <c r="K25" s="11">
        <v>20.702999999999999</v>
      </c>
      <c r="L25" s="9">
        <v>4200</v>
      </c>
      <c r="M25" s="9">
        <v>18</v>
      </c>
      <c r="N25" s="9">
        <f t="shared" si="18"/>
        <v>15651.467999999997</v>
      </c>
      <c r="Q25" s="9">
        <f t="shared" si="19"/>
        <v>86952.599999999991</v>
      </c>
      <c r="R25" s="9">
        <v>0</v>
      </c>
      <c r="S25" s="9">
        <v>0</v>
      </c>
      <c r="X25" s="12">
        <f t="shared" si="20"/>
        <v>102604.06799999998</v>
      </c>
      <c r="AB25" s="11" t="s">
        <v>57</v>
      </c>
      <c r="AC25" s="11" t="s">
        <v>42</v>
      </c>
    </row>
    <row r="26" spans="1:29" ht="15.75" customHeight="1" x14ac:dyDescent="0.2">
      <c r="A26" s="10">
        <v>46148</v>
      </c>
      <c r="B26" s="14">
        <v>2086</v>
      </c>
      <c r="C26" s="8" t="s">
        <v>45</v>
      </c>
      <c r="D26" s="8" t="s">
        <v>56</v>
      </c>
      <c r="E26" s="9">
        <v>4021783</v>
      </c>
      <c r="G26" s="9">
        <v>4821.1040000000003</v>
      </c>
      <c r="H26" s="8" t="s">
        <v>52</v>
      </c>
      <c r="J26" s="8" t="s">
        <v>32</v>
      </c>
      <c r="K26" s="11">
        <v>59.07</v>
      </c>
      <c r="L26" s="9">
        <v>2208.0396000000001</v>
      </c>
      <c r="M26" s="9">
        <v>18</v>
      </c>
      <c r="N26" s="9">
        <f t="shared" ref="N26:N35" si="21">K26*L26*(M26%)</f>
        <v>23477.201850959998</v>
      </c>
      <c r="Q26" s="9">
        <f t="shared" ref="Q26:Q35" si="22">K26*L26</f>
        <v>130428.899172</v>
      </c>
      <c r="R26" s="9">
        <v>0</v>
      </c>
      <c r="S26" s="9">
        <v>0</v>
      </c>
      <c r="X26" s="12">
        <f t="shared" ref="X26:X35" si="23">Q26+N26</f>
        <v>153906.10102296001</v>
      </c>
      <c r="AB26" s="11" t="s">
        <v>57</v>
      </c>
      <c r="AC26" s="11" t="s">
        <v>42</v>
      </c>
    </row>
    <row r="27" spans="1:29" ht="15.75" customHeight="1" x14ac:dyDescent="0.2">
      <c r="A27" s="10">
        <v>46150</v>
      </c>
      <c r="B27" s="15">
        <v>1234</v>
      </c>
      <c r="C27" s="8" t="s">
        <v>45</v>
      </c>
      <c r="D27" s="8" t="s">
        <v>46</v>
      </c>
      <c r="E27" s="9">
        <v>4118285</v>
      </c>
      <c r="F27" s="9"/>
      <c r="G27" s="9">
        <v>4811.41</v>
      </c>
      <c r="H27" s="8" t="s">
        <v>47</v>
      </c>
      <c r="I27" s="8"/>
      <c r="J27" s="8" t="s">
        <v>32</v>
      </c>
      <c r="K27" s="9">
        <v>9.0739000000000001</v>
      </c>
      <c r="L27" s="9">
        <v>1769.9114999999999</v>
      </c>
      <c r="M27" s="9">
        <v>18</v>
      </c>
      <c r="N27" s="9">
        <f t="shared" si="21"/>
        <v>2890.7999927729998</v>
      </c>
      <c r="O27" s="8"/>
      <c r="P27" s="8"/>
      <c r="Q27" s="9">
        <f t="shared" si="22"/>
        <v>16059.99995985</v>
      </c>
      <c r="R27" s="9">
        <v>0</v>
      </c>
      <c r="S27" s="9">
        <v>0</v>
      </c>
      <c r="T27" s="9"/>
      <c r="U27" s="9"/>
      <c r="V27" s="9"/>
      <c r="W27" s="9"/>
      <c r="X27" s="12">
        <f t="shared" si="23"/>
        <v>18950.799952622998</v>
      </c>
      <c r="Y27" s="8"/>
      <c r="Z27" s="8"/>
      <c r="AB27" s="11" t="s">
        <v>53</v>
      </c>
      <c r="AC27" s="11" t="s">
        <v>42</v>
      </c>
    </row>
    <row r="28" spans="1:29" ht="15.75" customHeight="1" x14ac:dyDescent="0.2">
      <c r="A28" s="10">
        <v>46150</v>
      </c>
      <c r="B28" s="15">
        <v>1234</v>
      </c>
      <c r="C28" s="8" t="s">
        <v>45</v>
      </c>
      <c r="D28" s="8" t="s">
        <v>46</v>
      </c>
      <c r="E28" s="9">
        <v>4118285</v>
      </c>
      <c r="F28" s="9"/>
      <c r="G28" s="9">
        <v>4811.41</v>
      </c>
      <c r="H28" s="8" t="s">
        <v>48</v>
      </c>
      <c r="I28" s="8"/>
      <c r="J28" s="8" t="s">
        <v>32</v>
      </c>
      <c r="K28" s="9">
        <v>13.2706</v>
      </c>
      <c r="L28" s="9">
        <v>1928.5714</v>
      </c>
      <c r="M28" s="9">
        <v>18</v>
      </c>
      <c r="N28" s="9">
        <f t="shared" si="21"/>
        <v>4606.7939317512</v>
      </c>
      <c r="O28" s="8"/>
      <c r="P28" s="8"/>
      <c r="Q28" s="9">
        <f t="shared" si="22"/>
        <v>25593.29962084</v>
      </c>
      <c r="R28" s="9">
        <v>0</v>
      </c>
      <c r="S28" s="9">
        <v>0</v>
      </c>
      <c r="T28" s="9"/>
      <c r="U28" s="9"/>
      <c r="V28" s="9"/>
      <c r="W28" s="9"/>
      <c r="X28" s="12">
        <f t="shared" si="23"/>
        <v>30200.093552591199</v>
      </c>
      <c r="Y28" s="8"/>
      <c r="Z28" s="8"/>
      <c r="AB28" s="11" t="s">
        <v>53</v>
      </c>
      <c r="AC28" s="11" t="s">
        <v>42</v>
      </c>
    </row>
    <row r="29" spans="1:29" ht="15.75" customHeight="1" x14ac:dyDescent="0.25">
      <c r="A29" s="10">
        <v>46150</v>
      </c>
      <c r="B29" s="15">
        <v>1234</v>
      </c>
      <c r="C29" s="8" t="s">
        <v>45</v>
      </c>
      <c r="D29" s="8" t="s">
        <v>46</v>
      </c>
      <c r="E29" s="9">
        <v>4118285</v>
      </c>
      <c r="F29" s="9"/>
      <c r="G29" s="9">
        <v>5807.1090000000004</v>
      </c>
      <c r="H29" s="13" t="s">
        <v>49</v>
      </c>
      <c r="I29" s="8"/>
      <c r="J29" s="8" t="s">
        <v>32</v>
      </c>
      <c r="K29" s="9">
        <v>16.1097</v>
      </c>
      <c r="L29" s="9">
        <v>2875.8829000000001</v>
      </c>
      <c r="M29" s="9">
        <v>18</v>
      </c>
      <c r="N29" s="9">
        <f t="shared" si="21"/>
        <v>8339.3299357434007</v>
      </c>
      <c r="O29" s="8"/>
      <c r="P29" s="8"/>
      <c r="Q29" s="9">
        <f t="shared" si="22"/>
        <v>46329.610754130001</v>
      </c>
      <c r="R29" s="9">
        <v>0</v>
      </c>
      <c r="S29" s="9">
        <v>0</v>
      </c>
      <c r="T29" s="9"/>
      <c r="U29" s="9"/>
      <c r="V29" s="9"/>
      <c r="W29" s="9"/>
      <c r="X29" s="12">
        <f t="shared" si="23"/>
        <v>54668.940689873401</v>
      </c>
      <c r="Y29" s="8"/>
      <c r="Z29" s="8"/>
      <c r="AB29" s="11" t="s">
        <v>53</v>
      </c>
      <c r="AC29" s="11" t="s">
        <v>42</v>
      </c>
    </row>
    <row r="30" spans="1:29" ht="15.75" customHeight="1" x14ac:dyDescent="0.2">
      <c r="A30" s="10">
        <v>46150</v>
      </c>
      <c r="B30" s="15">
        <v>1234</v>
      </c>
      <c r="C30" s="8" t="s">
        <v>45</v>
      </c>
      <c r="D30" s="8" t="s">
        <v>46</v>
      </c>
      <c r="E30" s="9">
        <v>4118285</v>
      </c>
      <c r="F30" s="9"/>
      <c r="G30" s="9">
        <v>4911.1000000000004</v>
      </c>
      <c r="H30" s="8" t="s">
        <v>50</v>
      </c>
      <c r="I30" s="8"/>
      <c r="J30" s="8" t="s">
        <v>51</v>
      </c>
      <c r="K30" s="9">
        <v>783</v>
      </c>
      <c r="L30" s="9">
        <v>31</v>
      </c>
      <c r="M30" s="9">
        <v>18</v>
      </c>
      <c r="N30" s="9">
        <f t="shared" si="21"/>
        <v>4369.1399999999994</v>
      </c>
      <c r="O30" s="8"/>
      <c r="P30" s="8"/>
      <c r="Q30" s="9">
        <f t="shared" si="22"/>
        <v>24273</v>
      </c>
      <c r="R30" s="9">
        <v>0</v>
      </c>
      <c r="S30" s="9">
        <v>0</v>
      </c>
      <c r="T30" s="9"/>
      <c r="U30" s="9"/>
      <c r="V30" s="9"/>
      <c r="W30" s="9"/>
      <c r="X30" s="12">
        <f t="shared" si="23"/>
        <v>28642.14</v>
      </c>
      <c r="Y30" s="8"/>
      <c r="Z30" s="8"/>
      <c r="AB30" s="11" t="s">
        <v>53</v>
      </c>
      <c r="AC30" s="11" t="s">
        <v>42</v>
      </c>
    </row>
    <row r="31" spans="1:29" ht="15.75" customHeight="1" x14ac:dyDescent="0.2">
      <c r="A31" s="10">
        <v>46150</v>
      </c>
      <c r="B31" s="15">
        <v>1235</v>
      </c>
      <c r="C31" s="8" t="s">
        <v>45</v>
      </c>
      <c r="D31" s="8" t="s">
        <v>46</v>
      </c>
      <c r="E31" s="9">
        <v>4118285</v>
      </c>
      <c r="G31" s="9">
        <v>4821.1040000000003</v>
      </c>
      <c r="H31" s="8" t="s">
        <v>52</v>
      </c>
      <c r="J31" s="8" t="s">
        <v>32</v>
      </c>
      <c r="K31" s="11">
        <v>38.07</v>
      </c>
      <c r="L31" s="9">
        <v>1493.9006999999999</v>
      </c>
      <c r="M31" s="9">
        <v>18</v>
      </c>
      <c r="N31" s="9">
        <f t="shared" si="21"/>
        <v>10237.10393682</v>
      </c>
      <c r="Q31" s="9">
        <f t="shared" si="22"/>
        <v>56872.799649</v>
      </c>
      <c r="R31" s="9">
        <v>0</v>
      </c>
      <c r="S31" s="9">
        <v>0</v>
      </c>
      <c r="X31" s="12">
        <f t="shared" si="23"/>
        <v>67109.903585819993</v>
      </c>
      <c r="AB31" s="11" t="s">
        <v>53</v>
      </c>
      <c r="AC31" s="11" t="s">
        <v>42</v>
      </c>
    </row>
    <row r="32" spans="1:29" ht="15.75" customHeight="1" x14ac:dyDescent="0.2">
      <c r="A32" s="10">
        <v>46151</v>
      </c>
      <c r="B32" s="14">
        <v>2087</v>
      </c>
      <c r="C32" s="8" t="s">
        <v>45</v>
      </c>
      <c r="D32" s="8" t="s">
        <v>56</v>
      </c>
      <c r="E32" s="9">
        <v>4021783</v>
      </c>
      <c r="G32" s="9">
        <v>4811.41</v>
      </c>
      <c r="H32" s="8" t="s">
        <v>47</v>
      </c>
      <c r="I32" s="8"/>
      <c r="J32" s="8" t="s">
        <v>32</v>
      </c>
      <c r="K32" s="9">
        <v>9.5823999999999998</v>
      </c>
      <c r="L32" s="9">
        <v>1769.9114999999999</v>
      </c>
      <c r="M32" s="9">
        <v>18</v>
      </c>
      <c r="N32" s="9">
        <f t="shared" si="21"/>
        <v>3052.7999923679995</v>
      </c>
      <c r="O32" s="8"/>
      <c r="P32" s="8"/>
      <c r="Q32" s="9">
        <f t="shared" si="22"/>
        <v>16959.999957599997</v>
      </c>
      <c r="R32" s="9">
        <v>0</v>
      </c>
      <c r="S32" s="9">
        <v>0</v>
      </c>
      <c r="T32" s="9"/>
      <c r="U32" s="9"/>
      <c r="V32" s="9"/>
      <c r="W32" s="9"/>
      <c r="X32" s="12">
        <f t="shared" si="23"/>
        <v>20012.799949967997</v>
      </c>
      <c r="Y32" s="8"/>
      <c r="Z32" s="8"/>
      <c r="AB32" s="11" t="s">
        <v>57</v>
      </c>
      <c r="AC32" s="11" t="s">
        <v>42</v>
      </c>
    </row>
    <row r="33" spans="1:29" ht="15.75" customHeight="1" x14ac:dyDescent="0.2">
      <c r="A33" s="10">
        <v>46151</v>
      </c>
      <c r="B33" s="14">
        <v>2087</v>
      </c>
      <c r="C33" s="8" t="s">
        <v>45</v>
      </c>
      <c r="D33" s="8" t="s">
        <v>56</v>
      </c>
      <c r="E33" s="9">
        <v>4021783</v>
      </c>
      <c r="G33" s="9">
        <v>4811.41</v>
      </c>
      <c r="H33" s="8" t="s">
        <v>48</v>
      </c>
      <c r="I33" s="8"/>
      <c r="J33" s="8" t="s">
        <v>32</v>
      </c>
      <c r="K33" s="9">
        <v>12.735799999999999</v>
      </c>
      <c r="L33" s="9">
        <v>1928.5714</v>
      </c>
      <c r="M33" s="9">
        <v>18</v>
      </c>
      <c r="N33" s="9">
        <f t="shared" si="21"/>
        <v>4421.1419345016002</v>
      </c>
      <c r="O33" s="8"/>
      <c r="P33" s="8"/>
      <c r="Q33" s="9">
        <f t="shared" si="22"/>
        <v>24561.899636120001</v>
      </c>
      <c r="R33" s="9">
        <v>0</v>
      </c>
      <c r="S33" s="9">
        <v>0</v>
      </c>
      <c r="T33" s="9"/>
      <c r="U33" s="9"/>
      <c r="V33" s="9"/>
      <c r="W33" s="9"/>
      <c r="X33" s="12">
        <f t="shared" si="23"/>
        <v>28983.041570621601</v>
      </c>
      <c r="Y33" s="8"/>
      <c r="Z33" s="8"/>
      <c r="AB33" s="11" t="s">
        <v>57</v>
      </c>
      <c r="AC33" s="11" t="s">
        <v>42</v>
      </c>
    </row>
    <row r="34" spans="1:29" ht="15.75" customHeight="1" x14ac:dyDescent="0.25">
      <c r="A34" s="10">
        <v>46151</v>
      </c>
      <c r="B34" s="14">
        <v>2087</v>
      </c>
      <c r="C34" s="8" t="s">
        <v>45</v>
      </c>
      <c r="D34" s="8" t="s">
        <v>56</v>
      </c>
      <c r="E34" s="9">
        <v>4021783</v>
      </c>
      <c r="G34" s="9">
        <v>5807.1090000000004</v>
      </c>
      <c r="H34" s="13" t="s">
        <v>49</v>
      </c>
      <c r="I34" s="8"/>
      <c r="J34" s="8" t="s">
        <v>32</v>
      </c>
      <c r="K34" s="9">
        <v>5.6105</v>
      </c>
      <c r="L34" s="9">
        <v>7851.2397000000001</v>
      </c>
      <c r="M34" s="9">
        <v>18</v>
      </c>
      <c r="N34" s="9">
        <f t="shared" si="21"/>
        <v>7928.8884606330002</v>
      </c>
      <c r="O34" s="8"/>
      <c r="P34" s="8"/>
      <c r="Q34" s="9">
        <f t="shared" si="22"/>
        <v>44049.380336850001</v>
      </c>
      <c r="R34" s="9">
        <v>0</v>
      </c>
      <c r="S34" s="9">
        <v>0</v>
      </c>
      <c r="T34" s="9"/>
      <c r="U34" s="9"/>
      <c r="V34" s="9"/>
      <c r="W34" s="9"/>
      <c r="X34" s="12">
        <f t="shared" si="23"/>
        <v>51978.268797483004</v>
      </c>
      <c r="Y34" s="8"/>
      <c r="Z34" s="8"/>
      <c r="AB34" s="11" t="s">
        <v>57</v>
      </c>
      <c r="AC34" s="11" t="s">
        <v>42</v>
      </c>
    </row>
    <row r="35" spans="1:29" ht="15.75" customHeight="1" x14ac:dyDescent="0.2">
      <c r="A35" s="10">
        <v>46151</v>
      </c>
      <c r="B35" s="14">
        <v>2087</v>
      </c>
      <c r="C35" s="8" t="s">
        <v>45</v>
      </c>
      <c r="D35" s="8" t="s">
        <v>56</v>
      </c>
      <c r="E35" s="9">
        <v>4021783</v>
      </c>
      <c r="G35" s="9">
        <v>4911.1000000000004</v>
      </c>
      <c r="H35" s="8" t="s">
        <v>50</v>
      </c>
      <c r="I35" s="8"/>
      <c r="J35" s="8" t="s">
        <v>51</v>
      </c>
      <c r="K35" s="9">
        <v>834</v>
      </c>
      <c r="L35" s="9">
        <v>31</v>
      </c>
      <c r="M35" s="9">
        <v>18</v>
      </c>
      <c r="N35" s="9">
        <f t="shared" si="21"/>
        <v>4653.72</v>
      </c>
      <c r="O35" s="8"/>
      <c r="P35" s="8"/>
      <c r="Q35" s="9">
        <f t="shared" si="22"/>
        <v>25854</v>
      </c>
      <c r="R35" s="9">
        <v>0</v>
      </c>
      <c r="S35" s="9">
        <v>0</v>
      </c>
      <c r="T35" s="9"/>
      <c r="U35" s="9"/>
      <c r="V35" s="9"/>
      <c r="W35" s="9"/>
      <c r="X35" s="12">
        <f t="shared" si="23"/>
        <v>30507.72</v>
      </c>
      <c r="Y35" s="8"/>
      <c r="Z35" s="8"/>
      <c r="AB35" s="11" t="s">
        <v>57</v>
      </c>
      <c r="AC35" s="11" t="s">
        <v>42</v>
      </c>
    </row>
    <row r="36" spans="1:29" ht="15.75" customHeight="1" x14ac:dyDescent="0.2">
      <c r="A36" s="10">
        <v>46151</v>
      </c>
      <c r="B36" s="14">
        <v>2088</v>
      </c>
      <c r="C36" s="8" t="s">
        <v>45</v>
      </c>
      <c r="D36" s="8" t="s">
        <v>56</v>
      </c>
      <c r="E36" s="9">
        <v>4021783</v>
      </c>
      <c r="G36" s="9">
        <v>4821.1040000000003</v>
      </c>
      <c r="H36" s="8" t="s">
        <v>52</v>
      </c>
      <c r="J36" s="8" t="s">
        <v>32</v>
      </c>
      <c r="K36" s="11">
        <v>36.67</v>
      </c>
      <c r="L36" s="9">
        <v>1488.4974</v>
      </c>
      <c r="M36" s="9">
        <v>18</v>
      </c>
      <c r="N36" s="9">
        <f t="shared" ref="N36:N41" si="24">K36*L36*(M36%)</f>
        <v>9824.9759384400004</v>
      </c>
      <c r="Q36" s="9">
        <f t="shared" ref="Q36:Q41" si="25">K36*L36</f>
        <v>54583.199658000005</v>
      </c>
      <c r="R36" s="9">
        <v>0</v>
      </c>
      <c r="S36" s="9">
        <v>0</v>
      </c>
      <c r="X36" s="12">
        <f t="shared" ref="X36:X41" si="26">Q36+N36</f>
        <v>64408.175596440007</v>
      </c>
      <c r="AB36" s="11" t="s">
        <v>57</v>
      </c>
      <c r="AC36" s="11" t="s">
        <v>42</v>
      </c>
    </row>
    <row r="37" spans="1:29" ht="15.75" customHeight="1" x14ac:dyDescent="0.2">
      <c r="A37" s="10">
        <v>46151</v>
      </c>
      <c r="B37" s="15">
        <v>1236</v>
      </c>
      <c r="C37" s="8" t="s">
        <v>45</v>
      </c>
      <c r="D37" s="8" t="s">
        <v>46</v>
      </c>
      <c r="E37" s="9">
        <v>4118285</v>
      </c>
      <c r="F37" s="9"/>
      <c r="G37" s="9">
        <v>4811.41</v>
      </c>
      <c r="H37" s="8" t="s">
        <v>47</v>
      </c>
      <c r="I37" s="8"/>
      <c r="J37" s="8" t="s">
        <v>32</v>
      </c>
      <c r="K37" s="9">
        <v>10.282999999999999</v>
      </c>
      <c r="L37" s="9">
        <v>1769.9114999999999</v>
      </c>
      <c r="M37" s="9">
        <v>18</v>
      </c>
      <c r="N37" s="9">
        <f t="shared" si="24"/>
        <v>3275.9999918099998</v>
      </c>
      <c r="O37" s="8"/>
      <c r="P37" s="8"/>
      <c r="Q37" s="9">
        <f t="shared" si="25"/>
        <v>18199.999954499999</v>
      </c>
      <c r="R37" s="9">
        <v>0</v>
      </c>
      <c r="S37" s="9">
        <v>0</v>
      </c>
      <c r="T37" s="9"/>
      <c r="U37" s="9"/>
      <c r="V37" s="9"/>
      <c r="W37" s="9"/>
      <c r="X37" s="12">
        <f t="shared" si="26"/>
        <v>21475.999946309999</v>
      </c>
      <c r="Y37" s="8"/>
      <c r="Z37" s="8"/>
      <c r="AB37" s="11" t="s">
        <v>53</v>
      </c>
      <c r="AC37" s="11" t="s">
        <v>42</v>
      </c>
    </row>
    <row r="38" spans="1:29" ht="15.75" customHeight="1" x14ac:dyDescent="0.2">
      <c r="A38" s="10">
        <v>46151</v>
      </c>
      <c r="B38" s="15">
        <v>1236</v>
      </c>
      <c r="C38" s="8" t="s">
        <v>45</v>
      </c>
      <c r="D38" s="8" t="s">
        <v>46</v>
      </c>
      <c r="E38" s="9">
        <v>4118285</v>
      </c>
      <c r="F38" s="9"/>
      <c r="G38" s="9">
        <v>4811.41</v>
      </c>
      <c r="H38" s="8" t="s">
        <v>48</v>
      </c>
      <c r="I38" s="8"/>
      <c r="J38" s="8" t="s">
        <v>32</v>
      </c>
      <c r="K38" s="9">
        <v>14.9506</v>
      </c>
      <c r="L38" s="9">
        <v>1928.5714</v>
      </c>
      <c r="M38" s="9">
        <v>18</v>
      </c>
      <c r="N38" s="9">
        <f t="shared" si="24"/>
        <v>5189.9939231111994</v>
      </c>
      <c r="O38" s="8"/>
      <c r="P38" s="8"/>
      <c r="Q38" s="9">
        <f t="shared" si="25"/>
        <v>28833.299572839998</v>
      </c>
      <c r="R38" s="9">
        <v>0</v>
      </c>
      <c r="S38" s="9">
        <v>0</v>
      </c>
      <c r="T38" s="9"/>
      <c r="U38" s="9"/>
      <c r="V38" s="9"/>
      <c r="W38" s="9"/>
      <c r="X38" s="12">
        <f t="shared" si="26"/>
        <v>34023.293495951199</v>
      </c>
      <c r="Y38" s="8"/>
      <c r="Z38" s="8"/>
      <c r="AB38" s="11" t="s">
        <v>53</v>
      </c>
      <c r="AC38" s="11" t="s">
        <v>42</v>
      </c>
    </row>
    <row r="39" spans="1:29" ht="15.75" customHeight="1" x14ac:dyDescent="0.25">
      <c r="A39" s="10">
        <v>46151</v>
      </c>
      <c r="B39" s="15">
        <v>1236</v>
      </c>
      <c r="C39" s="8" t="s">
        <v>45</v>
      </c>
      <c r="D39" s="8" t="s">
        <v>46</v>
      </c>
      <c r="E39" s="9">
        <v>4118285</v>
      </c>
      <c r="F39" s="9"/>
      <c r="G39" s="9">
        <v>5807.1090000000004</v>
      </c>
      <c r="H39" s="13" t="s">
        <v>49</v>
      </c>
      <c r="I39" s="8"/>
      <c r="J39" s="8" t="s">
        <v>32</v>
      </c>
      <c r="K39" s="9">
        <v>18.1492</v>
      </c>
      <c r="L39" s="9">
        <v>2875.8829000000001</v>
      </c>
      <c r="M39" s="9">
        <v>18</v>
      </c>
      <c r="N39" s="9">
        <f t="shared" si="24"/>
        <v>9395.0953071624008</v>
      </c>
      <c r="O39" s="8"/>
      <c r="P39" s="8"/>
      <c r="Q39" s="9">
        <f t="shared" si="25"/>
        <v>52194.973928680003</v>
      </c>
      <c r="R39" s="9">
        <v>0</v>
      </c>
      <c r="S39" s="9">
        <v>0</v>
      </c>
      <c r="T39" s="9"/>
      <c r="U39" s="9"/>
      <c r="V39" s="9"/>
      <c r="W39" s="9"/>
      <c r="X39" s="12">
        <f t="shared" si="26"/>
        <v>61590.069235842406</v>
      </c>
      <c r="Y39" s="8"/>
      <c r="Z39" s="8"/>
      <c r="AB39" s="11" t="s">
        <v>53</v>
      </c>
      <c r="AC39" s="11" t="s">
        <v>42</v>
      </c>
    </row>
    <row r="40" spans="1:29" ht="15.75" customHeight="1" x14ac:dyDescent="0.2">
      <c r="A40" s="10">
        <v>46151</v>
      </c>
      <c r="B40" s="15">
        <v>1236</v>
      </c>
      <c r="C40" s="8" t="s">
        <v>45</v>
      </c>
      <c r="D40" s="8" t="s">
        <v>46</v>
      </c>
      <c r="E40" s="9">
        <v>4118285</v>
      </c>
      <c r="F40" s="9"/>
      <c r="G40" s="9">
        <v>4911.1000000000004</v>
      </c>
      <c r="H40" s="8" t="s">
        <v>50</v>
      </c>
      <c r="I40" s="8"/>
      <c r="J40" s="8" t="s">
        <v>51</v>
      </c>
      <c r="K40" s="9">
        <v>886</v>
      </c>
      <c r="L40" s="9">
        <v>31</v>
      </c>
      <c r="M40" s="9">
        <v>18</v>
      </c>
      <c r="N40" s="9">
        <f t="shared" si="24"/>
        <v>4943.88</v>
      </c>
      <c r="O40" s="8"/>
      <c r="P40" s="8"/>
      <c r="Q40" s="9">
        <f t="shared" si="25"/>
        <v>27466</v>
      </c>
      <c r="R40" s="9">
        <v>0</v>
      </c>
      <c r="S40" s="9">
        <v>0</v>
      </c>
      <c r="T40" s="9"/>
      <c r="U40" s="9"/>
      <c r="V40" s="9"/>
      <c r="W40" s="9"/>
      <c r="X40" s="12">
        <f t="shared" si="26"/>
        <v>32409.88</v>
      </c>
      <c r="Y40" s="8"/>
      <c r="Z40" s="8"/>
      <c r="AB40" s="11" t="s">
        <v>53</v>
      </c>
      <c r="AC40" s="11" t="s">
        <v>42</v>
      </c>
    </row>
    <row r="41" spans="1:29" ht="15.75" customHeight="1" x14ac:dyDescent="0.2">
      <c r="A41" s="10">
        <v>46151</v>
      </c>
      <c r="B41" s="15">
        <v>1237</v>
      </c>
      <c r="C41" s="8" t="s">
        <v>45</v>
      </c>
      <c r="D41" s="8" t="s">
        <v>46</v>
      </c>
      <c r="E41" s="9">
        <v>4118285</v>
      </c>
      <c r="G41" s="9">
        <v>4821.1040000000003</v>
      </c>
      <c r="H41" s="8" t="s">
        <v>52</v>
      </c>
      <c r="J41" s="8" t="s">
        <v>32</v>
      </c>
      <c r="K41" s="11">
        <v>42.7</v>
      </c>
      <c r="L41" s="9">
        <v>1500.5340000000001</v>
      </c>
      <c r="M41" s="9">
        <v>18</v>
      </c>
      <c r="N41" s="9">
        <f t="shared" si="24"/>
        <v>11533.104324000002</v>
      </c>
      <c r="Q41" s="9">
        <f t="shared" si="25"/>
        <v>64072.801800000008</v>
      </c>
      <c r="R41" s="9">
        <v>0</v>
      </c>
      <c r="S41" s="9">
        <v>0</v>
      </c>
      <c r="X41" s="12">
        <f t="shared" si="26"/>
        <v>75605.906124000016</v>
      </c>
      <c r="AB41" s="11" t="s">
        <v>53</v>
      </c>
      <c r="AC41" s="11" t="s">
        <v>42</v>
      </c>
    </row>
    <row r="42" spans="1:29" ht="15.75" customHeight="1" x14ac:dyDescent="0.2">
      <c r="A42" s="10">
        <v>46153</v>
      </c>
      <c r="B42" s="15">
        <v>1238</v>
      </c>
      <c r="C42" s="8" t="s">
        <v>45</v>
      </c>
      <c r="D42" s="8" t="s">
        <v>46</v>
      </c>
      <c r="E42" s="9">
        <v>4118285</v>
      </c>
      <c r="F42" s="9"/>
      <c r="G42" s="9">
        <v>4811.41</v>
      </c>
      <c r="H42" s="8" t="s">
        <v>47</v>
      </c>
      <c r="I42" s="8"/>
      <c r="J42" s="8" t="s">
        <v>32</v>
      </c>
      <c r="K42" s="9">
        <v>10.3452</v>
      </c>
      <c r="L42" s="9">
        <v>1769.9114999999999</v>
      </c>
      <c r="M42" s="9">
        <v>18</v>
      </c>
      <c r="N42" s="9">
        <f t="shared" ref="N42:N46" si="27">K42*L42*(M42%)</f>
        <v>3295.8159209640003</v>
      </c>
      <c r="O42" s="8"/>
      <c r="P42" s="8"/>
      <c r="Q42" s="9">
        <f t="shared" ref="Q42:Q46" si="28">K42*L42</f>
        <v>18310.088449800001</v>
      </c>
      <c r="R42" s="9">
        <v>0</v>
      </c>
      <c r="S42" s="9">
        <v>0</v>
      </c>
      <c r="T42" s="9"/>
      <c r="U42" s="9"/>
      <c r="V42" s="9"/>
      <c r="W42" s="9"/>
      <c r="X42" s="12">
        <f t="shared" ref="X42:X46" si="29">Q42+N42</f>
        <v>21605.904370764001</v>
      </c>
      <c r="Y42" s="8"/>
      <c r="Z42" s="8"/>
      <c r="AB42" s="11" t="s">
        <v>53</v>
      </c>
      <c r="AC42" s="11" t="s">
        <v>42</v>
      </c>
    </row>
    <row r="43" spans="1:29" ht="15.75" customHeight="1" x14ac:dyDescent="0.2">
      <c r="A43" s="10">
        <v>46153</v>
      </c>
      <c r="B43" s="15">
        <v>1238</v>
      </c>
      <c r="C43" s="8" t="s">
        <v>45</v>
      </c>
      <c r="D43" s="8" t="s">
        <v>46</v>
      </c>
      <c r="E43" s="9">
        <v>4118285</v>
      </c>
      <c r="F43" s="9"/>
      <c r="G43" s="9">
        <v>4811.41</v>
      </c>
      <c r="H43" s="8" t="s">
        <v>48</v>
      </c>
      <c r="I43" s="8"/>
      <c r="J43" s="8" t="s">
        <v>32</v>
      </c>
      <c r="K43" s="9">
        <v>15.246</v>
      </c>
      <c r="L43" s="9">
        <v>1928.5714</v>
      </c>
      <c r="M43" s="9">
        <v>18</v>
      </c>
      <c r="N43" s="9">
        <f t="shared" si="27"/>
        <v>5292.5399215919997</v>
      </c>
      <c r="O43" s="8"/>
      <c r="P43" s="8"/>
      <c r="Q43" s="9">
        <f t="shared" si="28"/>
        <v>29402.999564400001</v>
      </c>
      <c r="R43" s="9">
        <v>0</v>
      </c>
      <c r="S43" s="9">
        <v>0</v>
      </c>
      <c r="T43" s="9"/>
      <c r="U43" s="9"/>
      <c r="V43" s="9"/>
      <c r="W43" s="9"/>
      <c r="X43" s="12">
        <f t="shared" si="29"/>
        <v>34695.539485991998</v>
      </c>
      <c r="Y43" s="8"/>
      <c r="Z43" s="8"/>
      <c r="AB43" s="11" t="s">
        <v>53</v>
      </c>
      <c r="AC43" s="11" t="s">
        <v>42</v>
      </c>
    </row>
    <row r="44" spans="1:29" ht="15.75" customHeight="1" x14ac:dyDescent="0.25">
      <c r="A44" s="10">
        <v>46153</v>
      </c>
      <c r="B44" s="15">
        <v>1238</v>
      </c>
      <c r="C44" s="8" t="s">
        <v>45</v>
      </c>
      <c r="D44" s="8" t="s">
        <v>46</v>
      </c>
      <c r="E44" s="9">
        <v>4118285</v>
      </c>
      <c r="F44" s="9"/>
      <c r="G44" s="9">
        <v>5807.1090000000004</v>
      </c>
      <c r="H44" s="13" t="s">
        <v>49</v>
      </c>
      <c r="I44" s="8"/>
      <c r="J44" s="8" t="s">
        <v>32</v>
      </c>
      <c r="K44" s="9">
        <v>18.508900000000001</v>
      </c>
      <c r="L44" s="9">
        <v>2875.8829000000001</v>
      </c>
      <c r="M44" s="9">
        <v>18</v>
      </c>
      <c r="N44" s="9">
        <f t="shared" si="27"/>
        <v>9581.2972214058009</v>
      </c>
      <c r="O44" s="8"/>
      <c r="P44" s="8"/>
      <c r="Q44" s="9">
        <f t="shared" si="28"/>
        <v>53229.429007810002</v>
      </c>
      <c r="R44" s="9">
        <v>0</v>
      </c>
      <c r="S44" s="9">
        <v>0</v>
      </c>
      <c r="T44" s="9"/>
      <c r="U44" s="9"/>
      <c r="V44" s="9"/>
      <c r="W44" s="9"/>
      <c r="X44" s="12">
        <f t="shared" si="29"/>
        <v>62810.726229215805</v>
      </c>
      <c r="Y44" s="8"/>
      <c r="Z44" s="8"/>
      <c r="AB44" s="11" t="s">
        <v>53</v>
      </c>
      <c r="AC44" s="11" t="s">
        <v>42</v>
      </c>
    </row>
    <row r="45" spans="1:29" ht="15.75" customHeight="1" x14ac:dyDescent="0.2">
      <c r="A45" s="10">
        <v>46153</v>
      </c>
      <c r="B45" s="15">
        <v>1238</v>
      </c>
      <c r="C45" s="8" t="s">
        <v>45</v>
      </c>
      <c r="D45" s="8" t="s">
        <v>46</v>
      </c>
      <c r="E45" s="9">
        <v>4118285</v>
      </c>
      <c r="F45" s="9"/>
      <c r="G45" s="9">
        <v>4911.1000000000004</v>
      </c>
      <c r="H45" s="8" t="s">
        <v>50</v>
      </c>
      <c r="I45" s="8"/>
      <c r="J45" s="8" t="s">
        <v>51</v>
      </c>
      <c r="K45" s="9">
        <v>889</v>
      </c>
      <c r="L45" s="9">
        <v>31</v>
      </c>
      <c r="M45" s="9">
        <v>18</v>
      </c>
      <c r="N45" s="9">
        <f t="shared" si="27"/>
        <v>4960.62</v>
      </c>
      <c r="O45" s="8"/>
      <c r="P45" s="8"/>
      <c r="Q45" s="9">
        <f t="shared" si="28"/>
        <v>27559</v>
      </c>
      <c r="R45" s="9">
        <v>0</v>
      </c>
      <c r="S45" s="9">
        <v>0</v>
      </c>
      <c r="T45" s="9"/>
      <c r="U45" s="9"/>
      <c r="V45" s="9"/>
      <c r="W45" s="9"/>
      <c r="X45" s="12">
        <f t="shared" si="29"/>
        <v>32519.62</v>
      </c>
      <c r="Y45" s="8"/>
      <c r="Z45" s="8"/>
      <c r="AB45" s="11" t="s">
        <v>53</v>
      </c>
      <c r="AC45" s="11" t="s">
        <v>42</v>
      </c>
    </row>
    <row r="46" spans="1:29" ht="15.75" customHeight="1" x14ac:dyDescent="0.2">
      <c r="A46" s="10">
        <v>46153</v>
      </c>
      <c r="B46" s="15">
        <v>1239</v>
      </c>
      <c r="C46" s="8" t="s">
        <v>45</v>
      </c>
      <c r="D46" s="8" t="s">
        <v>46</v>
      </c>
      <c r="E46" s="9">
        <v>4118285</v>
      </c>
      <c r="G46" s="9">
        <v>4821.1040000000003</v>
      </c>
      <c r="H46" s="8" t="s">
        <v>52</v>
      </c>
      <c r="J46" s="8" t="s">
        <v>32</v>
      </c>
      <c r="K46" s="11">
        <v>43.74</v>
      </c>
      <c r="L46" s="9">
        <v>1493.8271999999999</v>
      </c>
      <c r="M46" s="9">
        <v>18</v>
      </c>
      <c r="N46" s="9">
        <f t="shared" si="27"/>
        <v>11761.20031104</v>
      </c>
      <c r="Q46" s="9">
        <f t="shared" si="28"/>
        <v>65340.001728000003</v>
      </c>
      <c r="R46" s="9">
        <v>0</v>
      </c>
      <c r="S46" s="9">
        <v>0</v>
      </c>
      <c r="X46" s="12">
        <f t="shared" si="29"/>
        <v>77101.202039039999</v>
      </c>
      <c r="AB46" s="11" t="s">
        <v>53</v>
      </c>
      <c r="AC46" s="11" t="s">
        <v>42</v>
      </c>
    </row>
    <row r="47" spans="1:29" ht="15.75" customHeight="1" x14ac:dyDescent="0.2">
      <c r="A47" s="10">
        <v>46158</v>
      </c>
      <c r="B47" s="15">
        <v>1240</v>
      </c>
      <c r="C47" s="8" t="s">
        <v>45</v>
      </c>
      <c r="D47" s="8" t="s">
        <v>46</v>
      </c>
      <c r="E47" s="9">
        <v>4118285</v>
      </c>
      <c r="F47" s="9"/>
      <c r="G47" s="9">
        <v>4811.41</v>
      </c>
      <c r="H47" s="8" t="s">
        <v>47</v>
      </c>
      <c r="I47" s="8"/>
      <c r="J47" s="8" t="s">
        <v>32</v>
      </c>
      <c r="K47" s="9">
        <v>9.9779</v>
      </c>
      <c r="L47" s="9">
        <v>1769.9114999999999</v>
      </c>
      <c r="M47" s="9">
        <v>18</v>
      </c>
      <c r="N47" s="9">
        <f t="shared" ref="N47:N56" si="30">K47*L47*(M47%)</f>
        <v>3178.7999920529996</v>
      </c>
      <c r="O47" s="8"/>
      <c r="P47" s="8"/>
      <c r="Q47" s="9">
        <f t="shared" ref="Q47:Q56" si="31">K47*L47</f>
        <v>17659.999955849999</v>
      </c>
      <c r="R47" s="9">
        <v>0</v>
      </c>
      <c r="S47" s="9">
        <v>0</v>
      </c>
      <c r="T47" s="9"/>
      <c r="U47" s="9"/>
      <c r="V47" s="9"/>
      <c r="W47" s="9"/>
      <c r="X47" s="12">
        <f t="shared" ref="X47:X56" si="32">Q47+N47</f>
        <v>20838.799947902997</v>
      </c>
      <c r="Y47" s="8"/>
      <c r="Z47" s="8"/>
      <c r="AB47" s="11" t="s">
        <v>53</v>
      </c>
      <c r="AC47" s="11" t="s">
        <v>42</v>
      </c>
    </row>
    <row r="48" spans="1:29" ht="15.75" customHeight="1" x14ac:dyDescent="0.2">
      <c r="A48" s="10">
        <v>46158</v>
      </c>
      <c r="B48" s="15">
        <v>1240</v>
      </c>
      <c r="C48" s="8" t="s">
        <v>45</v>
      </c>
      <c r="D48" s="8" t="s">
        <v>46</v>
      </c>
      <c r="E48" s="9">
        <v>4118285</v>
      </c>
      <c r="F48" s="9"/>
      <c r="G48" s="9">
        <v>4811.41</v>
      </c>
      <c r="H48" s="8" t="s">
        <v>48</v>
      </c>
      <c r="I48" s="8"/>
      <c r="J48" s="8" t="s">
        <v>32</v>
      </c>
      <c r="K48" s="9">
        <v>14.690200000000001</v>
      </c>
      <c r="L48" s="9">
        <v>1928.5714</v>
      </c>
      <c r="M48" s="9">
        <v>18</v>
      </c>
      <c r="N48" s="9">
        <f t="shared" si="30"/>
        <v>5099.5979244504006</v>
      </c>
      <c r="O48" s="8"/>
      <c r="P48" s="8"/>
      <c r="Q48" s="9">
        <f t="shared" si="31"/>
        <v>28331.099580280003</v>
      </c>
      <c r="R48" s="9">
        <v>0</v>
      </c>
      <c r="S48" s="9">
        <v>0</v>
      </c>
      <c r="T48" s="9"/>
      <c r="U48" s="9"/>
      <c r="V48" s="9"/>
      <c r="W48" s="9"/>
      <c r="X48" s="12">
        <f t="shared" si="32"/>
        <v>33430.6975047304</v>
      </c>
      <c r="Y48" s="8"/>
      <c r="Z48" s="8"/>
      <c r="AB48" s="11" t="s">
        <v>53</v>
      </c>
      <c r="AC48" s="11" t="s">
        <v>42</v>
      </c>
    </row>
    <row r="49" spans="1:29" ht="15.75" customHeight="1" x14ac:dyDescent="0.25">
      <c r="A49" s="10">
        <v>46158</v>
      </c>
      <c r="B49" s="15">
        <v>1240</v>
      </c>
      <c r="C49" s="8" t="s">
        <v>45</v>
      </c>
      <c r="D49" s="8" t="s">
        <v>46</v>
      </c>
      <c r="E49" s="9">
        <v>4118285</v>
      </c>
      <c r="F49" s="9"/>
      <c r="G49" s="9">
        <v>5807.1090000000004</v>
      </c>
      <c r="H49" s="13" t="s">
        <v>49</v>
      </c>
      <c r="I49" s="8"/>
      <c r="J49" s="8" t="s">
        <v>32</v>
      </c>
      <c r="K49" s="9">
        <v>17.832999999999998</v>
      </c>
      <c r="L49" s="9">
        <v>2875.8829000000001</v>
      </c>
      <c r="M49" s="9">
        <v>18</v>
      </c>
      <c r="N49" s="9">
        <f t="shared" si="30"/>
        <v>9231.4115560259997</v>
      </c>
      <c r="O49" s="8"/>
      <c r="P49" s="8"/>
      <c r="Q49" s="9">
        <f t="shared" si="31"/>
        <v>51285.619755699998</v>
      </c>
      <c r="R49" s="9">
        <v>0</v>
      </c>
      <c r="S49" s="9">
        <v>0</v>
      </c>
      <c r="T49" s="9"/>
      <c r="U49" s="9"/>
      <c r="V49" s="9"/>
      <c r="W49" s="9"/>
      <c r="X49" s="12">
        <f t="shared" si="32"/>
        <v>60517.031311725994</v>
      </c>
      <c r="Y49" s="8"/>
      <c r="Z49" s="8"/>
      <c r="AB49" s="11" t="s">
        <v>53</v>
      </c>
      <c r="AC49" s="11" t="s">
        <v>42</v>
      </c>
    </row>
    <row r="50" spans="1:29" ht="15.75" customHeight="1" x14ac:dyDescent="0.2">
      <c r="A50" s="10">
        <v>46158</v>
      </c>
      <c r="B50" s="15">
        <v>1240</v>
      </c>
      <c r="C50" s="8" t="s">
        <v>45</v>
      </c>
      <c r="D50" s="8" t="s">
        <v>46</v>
      </c>
      <c r="E50" s="9">
        <v>4118285</v>
      </c>
      <c r="F50" s="9"/>
      <c r="G50" s="9">
        <v>4911.1000000000004</v>
      </c>
      <c r="H50" s="8" t="s">
        <v>50</v>
      </c>
      <c r="I50" s="8"/>
      <c r="J50" s="8" t="s">
        <v>51</v>
      </c>
      <c r="K50" s="9">
        <v>860</v>
      </c>
      <c r="L50" s="9">
        <v>31</v>
      </c>
      <c r="M50" s="9">
        <v>18</v>
      </c>
      <c r="N50" s="9">
        <f t="shared" si="30"/>
        <v>4798.8</v>
      </c>
      <c r="O50" s="8"/>
      <c r="P50" s="8"/>
      <c r="Q50" s="9">
        <f t="shared" si="31"/>
        <v>26660</v>
      </c>
      <c r="R50" s="9">
        <v>0</v>
      </c>
      <c r="S50" s="9">
        <v>0</v>
      </c>
      <c r="T50" s="9"/>
      <c r="U50" s="9"/>
      <c r="V50" s="9"/>
      <c r="W50" s="9"/>
      <c r="X50" s="12">
        <f t="shared" si="32"/>
        <v>31458.799999999999</v>
      </c>
      <c r="Y50" s="8"/>
      <c r="Z50" s="8"/>
      <c r="AB50" s="11" t="s">
        <v>53</v>
      </c>
      <c r="AC50" s="11" t="s">
        <v>42</v>
      </c>
    </row>
    <row r="51" spans="1:29" ht="15.75" customHeight="1" x14ac:dyDescent="0.2">
      <c r="A51" s="10">
        <v>46158</v>
      </c>
      <c r="B51" s="15">
        <v>1241</v>
      </c>
      <c r="C51" s="8" t="s">
        <v>45</v>
      </c>
      <c r="D51" s="8" t="s">
        <v>46</v>
      </c>
      <c r="E51" s="9">
        <v>4118285</v>
      </c>
      <c r="G51" s="9">
        <v>4821.1040000000003</v>
      </c>
      <c r="H51" s="8" t="s">
        <v>52</v>
      </c>
      <c r="J51" s="8" t="s">
        <v>32</v>
      </c>
      <c r="K51" s="11">
        <v>41.75</v>
      </c>
      <c r="L51" s="9">
        <v>1570.7783999999999</v>
      </c>
      <c r="M51" s="9">
        <v>18</v>
      </c>
      <c r="N51" s="9">
        <f t="shared" si="30"/>
        <v>11804.399675999999</v>
      </c>
      <c r="Q51" s="9">
        <f t="shared" si="31"/>
        <v>65579.998200000002</v>
      </c>
      <c r="R51" s="9">
        <v>0</v>
      </c>
      <c r="S51" s="9">
        <v>0</v>
      </c>
      <c r="X51" s="12">
        <f t="shared" si="32"/>
        <v>77384.397876000003</v>
      </c>
      <c r="AB51" s="11" t="s">
        <v>53</v>
      </c>
      <c r="AC51" s="11" t="s">
        <v>42</v>
      </c>
    </row>
    <row r="52" spans="1:29" ht="15.75" customHeight="1" x14ac:dyDescent="0.2">
      <c r="A52" s="10">
        <v>46158</v>
      </c>
      <c r="B52" s="14">
        <v>2089</v>
      </c>
      <c r="C52" s="8" t="s">
        <v>45</v>
      </c>
      <c r="D52" s="8" t="s">
        <v>56</v>
      </c>
      <c r="E52" s="9">
        <v>4021783</v>
      </c>
      <c r="G52" s="9">
        <v>4811.41</v>
      </c>
      <c r="H52" s="8" t="s">
        <v>47</v>
      </c>
      <c r="I52" s="8"/>
      <c r="J52" s="8" t="s">
        <v>32</v>
      </c>
      <c r="K52" s="9">
        <v>10.0457</v>
      </c>
      <c r="L52" s="9">
        <v>1769.9114999999999</v>
      </c>
      <c r="M52" s="9">
        <v>18</v>
      </c>
      <c r="N52" s="9">
        <f t="shared" si="30"/>
        <v>3200.3999919989997</v>
      </c>
      <c r="O52" s="8"/>
      <c r="P52" s="8"/>
      <c r="Q52" s="9">
        <f t="shared" si="31"/>
        <v>17779.99995555</v>
      </c>
      <c r="R52" s="9">
        <v>0</v>
      </c>
      <c r="S52" s="9">
        <v>0</v>
      </c>
      <c r="T52" s="9"/>
      <c r="U52" s="9"/>
      <c r="V52" s="9"/>
      <c r="W52" s="9"/>
      <c r="X52" s="12">
        <f t="shared" si="32"/>
        <v>20980.399947548998</v>
      </c>
      <c r="Y52" s="8"/>
      <c r="Z52" s="8"/>
      <c r="AB52" s="11" t="s">
        <v>57</v>
      </c>
      <c r="AC52" s="11" t="s">
        <v>42</v>
      </c>
    </row>
    <row r="53" spans="1:29" ht="15.75" customHeight="1" x14ac:dyDescent="0.2">
      <c r="A53" s="10">
        <v>46158</v>
      </c>
      <c r="B53" s="14">
        <v>2089</v>
      </c>
      <c r="C53" s="8" t="s">
        <v>45</v>
      </c>
      <c r="D53" s="8" t="s">
        <v>56</v>
      </c>
      <c r="E53" s="9">
        <v>4021783</v>
      </c>
      <c r="G53" s="9">
        <v>4811.41</v>
      </c>
      <c r="H53" s="8" t="s">
        <v>48</v>
      </c>
      <c r="I53" s="8"/>
      <c r="J53" s="8" t="s">
        <v>32</v>
      </c>
      <c r="K53" s="9">
        <v>11.714499999999999</v>
      </c>
      <c r="L53" s="9">
        <v>1928.5714</v>
      </c>
      <c r="M53" s="9">
        <v>18</v>
      </c>
      <c r="N53" s="9">
        <f t="shared" si="30"/>
        <v>4066.6049397539996</v>
      </c>
      <c r="O53" s="8"/>
      <c r="P53" s="8"/>
      <c r="Q53" s="9">
        <f t="shared" si="31"/>
        <v>22592.249665299998</v>
      </c>
      <c r="R53" s="9">
        <v>0</v>
      </c>
      <c r="S53" s="9">
        <v>0</v>
      </c>
      <c r="T53" s="9"/>
      <c r="U53" s="9"/>
      <c r="V53" s="9"/>
      <c r="W53" s="9"/>
      <c r="X53" s="12">
        <f t="shared" si="32"/>
        <v>26658.854605053999</v>
      </c>
      <c r="Y53" s="8"/>
      <c r="Z53" s="8"/>
      <c r="AB53" s="11" t="s">
        <v>57</v>
      </c>
      <c r="AC53" s="11" t="s">
        <v>42</v>
      </c>
    </row>
    <row r="54" spans="1:29" ht="15.75" customHeight="1" x14ac:dyDescent="0.25">
      <c r="A54" s="10">
        <v>46158</v>
      </c>
      <c r="B54" s="14">
        <v>2089</v>
      </c>
      <c r="C54" s="8" t="s">
        <v>45</v>
      </c>
      <c r="D54" s="8" t="s">
        <v>56</v>
      </c>
      <c r="E54" s="9">
        <v>4021783</v>
      </c>
      <c r="G54" s="9">
        <v>5807.1090000000004</v>
      </c>
      <c r="H54" s="13" t="s">
        <v>49</v>
      </c>
      <c r="I54" s="8"/>
      <c r="J54" s="8" t="s">
        <v>32</v>
      </c>
      <c r="K54" s="9">
        <v>5.1608000000000001</v>
      </c>
      <c r="L54" s="9">
        <v>7851.2397000000001</v>
      </c>
      <c r="M54" s="9">
        <v>18</v>
      </c>
      <c r="N54" s="9">
        <f t="shared" si="30"/>
        <v>7293.3620118767994</v>
      </c>
      <c r="O54" s="8"/>
      <c r="P54" s="8"/>
      <c r="Q54" s="9">
        <f t="shared" si="31"/>
        <v>40518.677843760001</v>
      </c>
      <c r="R54" s="9">
        <v>0</v>
      </c>
      <c r="S54" s="9">
        <v>0</v>
      </c>
      <c r="T54" s="9"/>
      <c r="U54" s="9"/>
      <c r="V54" s="9"/>
      <c r="W54" s="9"/>
      <c r="X54" s="12">
        <f t="shared" si="32"/>
        <v>47812.039855636802</v>
      </c>
      <c r="Y54" s="8"/>
      <c r="Z54" s="8"/>
      <c r="AB54" s="11" t="s">
        <v>57</v>
      </c>
      <c r="AC54" s="11" t="s">
        <v>42</v>
      </c>
    </row>
    <row r="55" spans="1:29" ht="15.75" customHeight="1" x14ac:dyDescent="0.2">
      <c r="A55" s="10">
        <v>46158</v>
      </c>
      <c r="B55" s="14">
        <v>2089</v>
      </c>
      <c r="C55" s="8" t="s">
        <v>45</v>
      </c>
      <c r="D55" s="8" t="s">
        <v>56</v>
      </c>
      <c r="E55" s="9">
        <v>4021783</v>
      </c>
      <c r="G55" s="9">
        <v>4911.1000000000004</v>
      </c>
      <c r="H55" s="8" t="s">
        <v>50</v>
      </c>
      <c r="I55" s="8"/>
      <c r="J55" s="8" t="s">
        <v>51</v>
      </c>
      <c r="K55" s="9">
        <v>874</v>
      </c>
      <c r="L55" s="9">
        <v>31</v>
      </c>
      <c r="M55" s="9">
        <v>18</v>
      </c>
      <c r="N55" s="9">
        <f t="shared" si="30"/>
        <v>4876.92</v>
      </c>
      <c r="O55" s="8"/>
      <c r="P55" s="8"/>
      <c r="Q55" s="9">
        <f t="shared" si="31"/>
        <v>27094</v>
      </c>
      <c r="R55" s="9">
        <v>0</v>
      </c>
      <c r="S55" s="9">
        <v>0</v>
      </c>
      <c r="T55" s="9"/>
      <c r="U55" s="9"/>
      <c r="V55" s="9"/>
      <c r="W55" s="9"/>
      <c r="X55" s="12">
        <f t="shared" si="32"/>
        <v>31970.92</v>
      </c>
      <c r="Y55" s="8"/>
      <c r="Z55" s="8"/>
      <c r="AB55" s="11" t="s">
        <v>57</v>
      </c>
      <c r="AC55" s="11" t="s">
        <v>42</v>
      </c>
    </row>
    <row r="56" spans="1:29" ht="15.75" customHeight="1" x14ac:dyDescent="0.2">
      <c r="A56" s="10">
        <v>46158</v>
      </c>
      <c r="B56" s="14">
        <v>2090</v>
      </c>
      <c r="C56" s="8" t="s">
        <v>45</v>
      </c>
      <c r="D56" s="8" t="s">
        <v>56</v>
      </c>
      <c r="E56" s="9">
        <v>4021783</v>
      </c>
      <c r="G56" s="9">
        <v>4821.1040000000003</v>
      </c>
      <c r="H56" s="8" t="s">
        <v>52</v>
      </c>
      <c r="J56" s="8" t="s">
        <v>32</v>
      </c>
      <c r="K56" s="11">
        <v>33.450000000000003</v>
      </c>
      <c r="L56" s="9">
        <v>1563.4529</v>
      </c>
      <c r="M56" s="9">
        <v>18</v>
      </c>
      <c r="N56" s="9">
        <f t="shared" si="30"/>
        <v>9413.5499109000011</v>
      </c>
      <c r="Q56" s="9">
        <f t="shared" si="31"/>
        <v>52297.499505000007</v>
      </c>
      <c r="R56" s="9">
        <v>0</v>
      </c>
      <c r="S56" s="9">
        <v>0</v>
      </c>
      <c r="X56" s="12">
        <f t="shared" si="32"/>
        <v>61711.049415900008</v>
      </c>
      <c r="AB56" s="11" t="s">
        <v>57</v>
      </c>
      <c r="AC56" s="11" t="s">
        <v>42</v>
      </c>
    </row>
    <row r="57" spans="1:29" ht="15.75" customHeight="1" x14ac:dyDescent="0.2">
      <c r="A57" s="10">
        <v>46160</v>
      </c>
      <c r="B57" s="15">
        <v>428</v>
      </c>
      <c r="C57" s="8" t="s">
        <v>60</v>
      </c>
      <c r="D57" s="8" t="s">
        <v>58</v>
      </c>
      <c r="E57" s="9">
        <v>8893157</v>
      </c>
      <c r="G57" s="9">
        <v>4821.1040000000003</v>
      </c>
      <c r="H57" s="8" t="s">
        <v>52</v>
      </c>
      <c r="J57" s="8" t="s">
        <v>32</v>
      </c>
      <c r="K57" s="11">
        <v>112.85</v>
      </c>
      <c r="L57" s="9">
        <v>910.63800000000003</v>
      </c>
      <c r="M57" s="9">
        <v>18</v>
      </c>
      <c r="N57" s="9">
        <f t="shared" ref="N57" si="33">K57*L57*(M57%)</f>
        <v>18497.789693999999</v>
      </c>
      <c r="Q57" s="9">
        <f t="shared" ref="Q57" si="34">K57*L57</f>
        <v>102765.49829999999</v>
      </c>
      <c r="R57" s="9">
        <v>0</v>
      </c>
      <c r="S57" s="9">
        <v>0</v>
      </c>
      <c r="X57" s="12">
        <f t="shared" ref="X57" si="35">Q57+N57</f>
        <v>121263.28799399998</v>
      </c>
      <c r="AB57" s="11" t="s">
        <v>59</v>
      </c>
      <c r="AC57" s="11" t="s">
        <v>42</v>
      </c>
    </row>
    <row r="58" spans="1:29" ht="15.75" customHeight="1" x14ac:dyDescent="0.2">
      <c r="A58" s="10">
        <v>46161</v>
      </c>
      <c r="B58" s="15">
        <v>429</v>
      </c>
      <c r="C58" s="8" t="s">
        <v>60</v>
      </c>
      <c r="D58" s="8" t="s">
        <v>58</v>
      </c>
      <c r="E58" s="9">
        <v>8893157</v>
      </c>
      <c r="G58" s="9">
        <v>4821.1040000000003</v>
      </c>
      <c r="H58" s="8" t="s">
        <v>52</v>
      </c>
      <c r="J58" s="8" t="s">
        <v>32</v>
      </c>
      <c r="K58" s="11">
        <v>115.25</v>
      </c>
      <c r="L58" s="9">
        <v>909.82219999999995</v>
      </c>
      <c r="M58" s="9">
        <v>18</v>
      </c>
      <c r="N58" s="9">
        <f t="shared" ref="N58:N63" si="36">K58*L58*(M58%)</f>
        <v>18874.261538999999</v>
      </c>
      <c r="Q58" s="9">
        <f t="shared" ref="Q58:Q63" si="37">K58*L58</f>
        <v>104857.00855</v>
      </c>
      <c r="R58" s="9">
        <v>0</v>
      </c>
      <c r="S58" s="9">
        <v>0</v>
      </c>
      <c r="X58" s="12">
        <f t="shared" ref="X58:X63" si="38">Q58+N58</f>
        <v>123731.270089</v>
      </c>
      <c r="AB58" s="11" t="s">
        <v>59</v>
      </c>
      <c r="AC58" s="11" t="s">
        <v>42</v>
      </c>
    </row>
    <row r="59" spans="1:29" ht="15.75" customHeight="1" x14ac:dyDescent="0.2">
      <c r="A59" s="10">
        <v>46161</v>
      </c>
      <c r="B59" s="15">
        <v>1242</v>
      </c>
      <c r="C59" s="8" t="s">
        <v>45</v>
      </c>
      <c r="D59" s="8" t="s">
        <v>46</v>
      </c>
      <c r="E59" s="9">
        <v>4118285</v>
      </c>
      <c r="F59" s="9"/>
      <c r="G59" s="9">
        <v>4811.41</v>
      </c>
      <c r="H59" s="8" t="s">
        <v>47</v>
      </c>
      <c r="I59" s="8"/>
      <c r="J59" s="8" t="s">
        <v>32</v>
      </c>
      <c r="K59" s="9">
        <v>10.136100000000001</v>
      </c>
      <c r="L59" s="9">
        <v>1769.9114999999999</v>
      </c>
      <c r="M59" s="9">
        <v>18</v>
      </c>
      <c r="N59" s="9">
        <f t="shared" si="36"/>
        <v>3229.1999919270002</v>
      </c>
      <c r="O59" s="8"/>
      <c r="P59" s="8"/>
      <c r="Q59" s="9">
        <f t="shared" si="37"/>
        <v>17939.99995515</v>
      </c>
      <c r="R59" s="9">
        <v>0</v>
      </c>
      <c r="S59" s="9">
        <v>0</v>
      </c>
      <c r="T59" s="9"/>
      <c r="U59" s="9"/>
      <c r="V59" s="9"/>
      <c r="W59" s="9"/>
      <c r="X59" s="12">
        <f t="shared" si="38"/>
        <v>21169.199947077002</v>
      </c>
      <c r="Y59" s="8"/>
      <c r="Z59" s="8"/>
      <c r="AB59" s="11" t="s">
        <v>53</v>
      </c>
      <c r="AC59" s="11" t="s">
        <v>42</v>
      </c>
    </row>
    <row r="60" spans="1:29" ht="15.75" customHeight="1" x14ac:dyDescent="0.2">
      <c r="A60" s="10">
        <v>46161</v>
      </c>
      <c r="B60" s="15">
        <v>1242</v>
      </c>
      <c r="C60" s="8" t="s">
        <v>45</v>
      </c>
      <c r="D60" s="8" t="s">
        <v>46</v>
      </c>
      <c r="E60" s="9">
        <v>4118285</v>
      </c>
      <c r="F60" s="9"/>
      <c r="G60" s="9">
        <v>4811.41</v>
      </c>
      <c r="H60" s="8" t="s">
        <v>48</v>
      </c>
      <c r="I60" s="8"/>
      <c r="J60" s="8" t="s">
        <v>32</v>
      </c>
      <c r="K60" s="9">
        <v>11.454800000000001</v>
      </c>
      <c r="L60" s="9">
        <v>1928.5714</v>
      </c>
      <c r="M60" s="9">
        <v>18</v>
      </c>
      <c r="N60" s="9">
        <f t="shared" si="36"/>
        <v>3976.4519410896005</v>
      </c>
      <c r="O60" s="8"/>
      <c r="P60" s="8"/>
      <c r="Q60" s="9">
        <f t="shared" si="37"/>
        <v>22091.399672720003</v>
      </c>
      <c r="R60" s="9">
        <v>0</v>
      </c>
      <c r="S60" s="9">
        <v>0</v>
      </c>
      <c r="T60" s="9"/>
      <c r="U60" s="9"/>
      <c r="V60" s="9"/>
      <c r="W60" s="9"/>
      <c r="X60" s="12">
        <f t="shared" si="38"/>
        <v>26067.851613809602</v>
      </c>
      <c r="Y60" s="8"/>
      <c r="Z60" s="8"/>
      <c r="AB60" s="11" t="s">
        <v>53</v>
      </c>
      <c r="AC60" s="11" t="s">
        <v>42</v>
      </c>
    </row>
    <row r="61" spans="1:29" ht="15.75" customHeight="1" x14ac:dyDescent="0.25">
      <c r="A61" s="10">
        <v>46161</v>
      </c>
      <c r="B61" s="15">
        <v>1242</v>
      </c>
      <c r="C61" s="8" t="s">
        <v>45</v>
      </c>
      <c r="D61" s="8" t="s">
        <v>46</v>
      </c>
      <c r="E61" s="9">
        <v>4118285</v>
      </c>
      <c r="F61" s="9"/>
      <c r="G61" s="9">
        <v>5807.1090000000004</v>
      </c>
      <c r="H61" s="13" t="s">
        <v>49</v>
      </c>
      <c r="I61" s="8"/>
      <c r="J61" s="8" t="s">
        <v>32</v>
      </c>
      <c r="K61" s="9">
        <v>13.906700000000001</v>
      </c>
      <c r="L61" s="9">
        <v>2875.8829000000001</v>
      </c>
      <c r="M61" s="9">
        <v>18</v>
      </c>
      <c r="N61" s="9">
        <f t="shared" si="36"/>
        <v>7198.9273305773995</v>
      </c>
      <c r="O61" s="8"/>
      <c r="P61" s="8"/>
      <c r="Q61" s="9">
        <f t="shared" si="37"/>
        <v>39994.040725430001</v>
      </c>
      <c r="R61" s="9">
        <v>0</v>
      </c>
      <c r="S61" s="9">
        <v>0</v>
      </c>
      <c r="T61" s="9"/>
      <c r="U61" s="9"/>
      <c r="V61" s="9"/>
      <c r="W61" s="9"/>
      <c r="X61" s="12">
        <f t="shared" si="38"/>
        <v>47192.968056007398</v>
      </c>
      <c r="Y61" s="8"/>
      <c r="Z61" s="8"/>
      <c r="AB61" s="11" t="s">
        <v>53</v>
      </c>
      <c r="AC61" s="11" t="s">
        <v>42</v>
      </c>
    </row>
    <row r="62" spans="1:29" ht="15.75" customHeight="1" x14ac:dyDescent="0.2">
      <c r="A62" s="10">
        <v>46161</v>
      </c>
      <c r="B62" s="15">
        <v>1242</v>
      </c>
      <c r="C62" s="8" t="s">
        <v>45</v>
      </c>
      <c r="D62" s="8" t="s">
        <v>46</v>
      </c>
      <c r="E62" s="9">
        <v>4118285</v>
      </c>
      <c r="F62" s="9"/>
      <c r="G62" s="9">
        <v>4911.1000000000004</v>
      </c>
      <c r="H62" s="8" t="s">
        <v>50</v>
      </c>
      <c r="I62" s="8"/>
      <c r="J62" s="8" t="s">
        <v>51</v>
      </c>
      <c r="K62" s="9">
        <v>873</v>
      </c>
      <c r="L62" s="9">
        <v>31</v>
      </c>
      <c r="M62" s="9">
        <v>18</v>
      </c>
      <c r="N62" s="9">
        <f t="shared" si="36"/>
        <v>4871.34</v>
      </c>
      <c r="O62" s="8"/>
      <c r="P62" s="8"/>
      <c r="Q62" s="9">
        <f t="shared" si="37"/>
        <v>27063</v>
      </c>
      <c r="R62" s="9">
        <v>0</v>
      </c>
      <c r="S62" s="9">
        <v>0</v>
      </c>
      <c r="T62" s="9"/>
      <c r="U62" s="9"/>
      <c r="V62" s="9"/>
      <c r="W62" s="9"/>
      <c r="X62" s="12">
        <f t="shared" si="38"/>
        <v>31934.34</v>
      </c>
      <c r="Y62" s="8"/>
      <c r="Z62" s="8"/>
      <c r="AB62" s="11" t="s">
        <v>53</v>
      </c>
      <c r="AC62" s="11" t="s">
        <v>42</v>
      </c>
    </row>
    <row r="63" spans="1:29" ht="15.75" customHeight="1" x14ac:dyDescent="0.2">
      <c r="A63" s="10">
        <v>46161</v>
      </c>
      <c r="B63" s="15">
        <v>1243</v>
      </c>
      <c r="C63" s="8" t="s">
        <v>45</v>
      </c>
      <c r="D63" s="8" t="s">
        <v>46</v>
      </c>
      <c r="E63" s="9">
        <v>4118285</v>
      </c>
      <c r="G63" s="9">
        <v>4821.1040000000003</v>
      </c>
      <c r="H63" s="8" t="s">
        <v>52</v>
      </c>
      <c r="J63" s="8" t="s">
        <v>32</v>
      </c>
      <c r="K63" s="11">
        <v>32.75</v>
      </c>
      <c r="L63" s="9">
        <v>1561.4884999999999</v>
      </c>
      <c r="M63" s="9">
        <v>18</v>
      </c>
      <c r="N63" s="9">
        <f t="shared" si="36"/>
        <v>9204.9747074999996</v>
      </c>
      <c r="Q63" s="9">
        <f t="shared" si="37"/>
        <v>51138.748374999996</v>
      </c>
      <c r="R63" s="9">
        <v>0</v>
      </c>
      <c r="S63" s="9">
        <v>0</v>
      </c>
      <c r="X63" s="12">
        <f t="shared" si="38"/>
        <v>60343.723082499993</v>
      </c>
      <c r="AB63" s="11" t="s">
        <v>53</v>
      </c>
      <c r="AC63" s="11" t="s">
        <v>42</v>
      </c>
    </row>
    <row r="64" spans="1:29" ht="15.75" customHeight="1" x14ac:dyDescent="0.2">
      <c r="A64" s="10">
        <v>46162</v>
      </c>
      <c r="B64" s="15">
        <v>430</v>
      </c>
      <c r="C64" s="8" t="s">
        <v>45</v>
      </c>
      <c r="D64" s="8" t="s">
        <v>58</v>
      </c>
      <c r="E64" s="9">
        <v>8893157</v>
      </c>
      <c r="G64" s="9">
        <v>4911.1000000000004</v>
      </c>
      <c r="H64" s="8" t="s">
        <v>50</v>
      </c>
      <c r="J64" s="8" t="s">
        <v>51</v>
      </c>
      <c r="K64" s="11">
        <v>1232</v>
      </c>
      <c r="L64" s="9">
        <v>31</v>
      </c>
      <c r="M64" s="9">
        <v>18</v>
      </c>
      <c r="N64" s="9">
        <f t="shared" ref="N64" si="39">K64*L64*(M64%)</f>
        <v>6874.5599999999995</v>
      </c>
      <c r="Q64" s="9">
        <f t="shared" ref="Q64" si="40">K64*L64</f>
        <v>38192</v>
      </c>
      <c r="R64" s="9">
        <v>0</v>
      </c>
      <c r="S64" s="9">
        <v>0</v>
      </c>
      <c r="X64" s="12">
        <f t="shared" ref="X64" si="41">Q64+N64</f>
        <v>45066.559999999998</v>
      </c>
      <c r="AB64" s="11" t="s">
        <v>59</v>
      </c>
      <c r="AC64" s="11" t="s">
        <v>42</v>
      </c>
    </row>
    <row r="65" spans="1:29" ht="15.75" customHeight="1" x14ac:dyDescent="0.2">
      <c r="A65" s="10">
        <v>46162</v>
      </c>
      <c r="B65" s="15">
        <v>431</v>
      </c>
      <c r="C65" s="8" t="s">
        <v>45</v>
      </c>
      <c r="D65" s="8" t="s">
        <v>58</v>
      </c>
      <c r="E65" s="9">
        <v>8893157</v>
      </c>
      <c r="G65" s="9">
        <v>4911.1000000000004</v>
      </c>
      <c r="H65" s="8" t="s">
        <v>50</v>
      </c>
      <c r="J65" s="8" t="s">
        <v>51</v>
      </c>
      <c r="K65" s="11">
        <v>1264</v>
      </c>
      <c r="L65" s="9">
        <v>31</v>
      </c>
      <c r="M65" s="9">
        <v>18</v>
      </c>
      <c r="N65" s="9">
        <f t="shared" ref="N65:N66" si="42">K65*L65*(M65%)</f>
        <v>7053.12</v>
      </c>
      <c r="Q65" s="9">
        <f t="shared" ref="Q65:Q66" si="43">K65*L65</f>
        <v>39184</v>
      </c>
      <c r="R65" s="9">
        <v>0</v>
      </c>
      <c r="S65" s="9">
        <v>0</v>
      </c>
      <c r="X65" s="12">
        <f t="shared" ref="X65:X66" si="44">Q65+N65</f>
        <v>46237.120000000003</v>
      </c>
      <c r="AB65" s="11" t="s">
        <v>59</v>
      </c>
      <c r="AC65" s="11" t="s">
        <v>42</v>
      </c>
    </row>
    <row r="66" spans="1:29" ht="15.75" customHeight="1" x14ac:dyDescent="0.2">
      <c r="A66" s="10">
        <v>46163</v>
      </c>
      <c r="B66" s="15">
        <v>432</v>
      </c>
      <c r="C66" s="8" t="s">
        <v>60</v>
      </c>
      <c r="D66" s="8" t="s">
        <v>58</v>
      </c>
      <c r="E66" s="9">
        <v>8893157</v>
      </c>
      <c r="G66" s="9">
        <v>4821.1040000000003</v>
      </c>
      <c r="H66" s="8" t="s">
        <v>52</v>
      </c>
      <c r="J66" s="8" t="s">
        <v>32</v>
      </c>
      <c r="K66" s="11">
        <v>115.2</v>
      </c>
      <c r="L66" s="9">
        <v>913.31596999999999</v>
      </c>
      <c r="M66" s="9">
        <v>18</v>
      </c>
      <c r="N66" s="9">
        <f t="shared" si="42"/>
        <v>18938.51995392</v>
      </c>
      <c r="Q66" s="9">
        <f t="shared" si="43"/>
        <v>105213.999744</v>
      </c>
      <c r="R66" s="9">
        <v>0</v>
      </c>
      <c r="S66" s="9">
        <v>0</v>
      </c>
      <c r="X66" s="12">
        <f t="shared" si="44"/>
        <v>124152.51969792</v>
      </c>
      <c r="AB66" s="11" t="s">
        <v>59</v>
      </c>
      <c r="AC66" s="11" t="s">
        <v>42</v>
      </c>
    </row>
    <row r="67" spans="1:29" ht="15.75" customHeight="1" x14ac:dyDescent="0.2">
      <c r="A67" s="10">
        <v>46163</v>
      </c>
      <c r="B67" s="15">
        <v>433</v>
      </c>
      <c r="C67" s="8" t="s">
        <v>60</v>
      </c>
      <c r="D67" s="8" t="s">
        <v>58</v>
      </c>
      <c r="E67" s="9">
        <v>8893157</v>
      </c>
      <c r="G67" s="9">
        <v>4821.1040000000003</v>
      </c>
      <c r="H67" s="8" t="s">
        <v>52</v>
      </c>
      <c r="J67" s="8" t="s">
        <v>32</v>
      </c>
      <c r="K67" s="11">
        <v>115.3</v>
      </c>
      <c r="L67" s="9">
        <v>911.42489999999998</v>
      </c>
      <c r="M67" s="9">
        <v>18</v>
      </c>
      <c r="N67" s="9">
        <f t="shared" ref="N67:N79" si="45">K67*L67*(M67%)</f>
        <v>18915.7123746</v>
      </c>
      <c r="Q67" s="9">
        <f t="shared" ref="Q67:Q79" si="46">K67*L67</f>
        <v>105087.29097</v>
      </c>
      <c r="R67" s="9">
        <v>0</v>
      </c>
      <c r="S67" s="9">
        <v>0</v>
      </c>
      <c r="X67" s="12">
        <f t="shared" ref="X67:X79" si="47">Q67+N67</f>
        <v>124003.0033446</v>
      </c>
      <c r="AB67" s="11" t="s">
        <v>59</v>
      </c>
      <c r="AC67" s="11" t="s">
        <v>42</v>
      </c>
    </row>
    <row r="68" spans="1:29" ht="15.75" customHeight="1" x14ac:dyDescent="0.2">
      <c r="A68" s="10">
        <v>46163</v>
      </c>
      <c r="B68" s="15">
        <v>1244</v>
      </c>
      <c r="C68" s="8" t="s">
        <v>45</v>
      </c>
      <c r="D68" s="8" t="s">
        <v>46</v>
      </c>
      <c r="E68" s="9">
        <v>4118285</v>
      </c>
      <c r="F68" s="9"/>
      <c r="G68" s="9">
        <v>4811.41</v>
      </c>
      <c r="H68" s="8" t="s">
        <v>47</v>
      </c>
      <c r="I68" s="8"/>
      <c r="J68" s="8" t="s">
        <v>32</v>
      </c>
      <c r="K68" s="9">
        <v>9.2604000000000006</v>
      </c>
      <c r="L68" s="9">
        <v>1769.9114999999999</v>
      </c>
      <c r="M68" s="9">
        <v>18</v>
      </c>
      <c r="N68" s="9">
        <f t="shared" si="45"/>
        <v>2950.2159218280003</v>
      </c>
      <c r="O68" s="8"/>
      <c r="P68" s="8"/>
      <c r="Q68" s="9">
        <f t="shared" si="46"/>
        <v>16390.088454600002</v>
      </c>
      <c r="R68" s="9">
        <v>0</v>
      </c>
      <c r="S68" s="9">
        <v>0</v>
      </c>
      <c r="T68" s="9"/>
      <c r="U68" s="9"/>
      <c r="V68" s="9"/>
      <c r="W68" s="9"/>
      <c r="X68" s="12">
        <f t="shared" si="47"/>
        <v>19340.304376428001</v>
      </c>
      <c r="Y68" s="8"/>
      <c r="Z68" s="8"/>
      <c r="AB68" s="11" t="s">
        <v>53</v>
      </c>
      <c r="AC68" s="11" t="s">
        <v>42</v>
      </c>
    </row>
    <row r="69" spans="1:29" ht="15.75" customHeight="1" x14ac:dyDescent="0.2">
      <c r="A69" s="10">
        <v>46163</v>
      </c>
      <c r="B69" s="15">
        <v>1244</v>
      </c>
      <c r="C69" s="8" t="s">
        <v>45</v>
      </c>
      <c r="D69" s="8" t="s">
        <v>46</v>
      </c>
      <c r="E69" s="9">
        <v>4118285</v>
      </c>
      <c r="F69" s="9"/>
      <c r="G69" s="9">
        <v>4811.41</v>
      </c>
      <c r="H69" s="8" t="s">
        <v>48</v>
      </c>
      <c r="I69" s="8"/>
      <c r="J69" s="8" t="s">
        <v>32</v>
      </c>
      <c r="K69" s="9">
        <v>13.703200000000001</v>
      </c>
      <c r="L69" s="9">
        <v>1928.5714</v>
      </c>
      <c r="M69" s="9">
        <v>18</v>
      </c>
      <c r="N69" s="9">
        <f t="shared" si="45"/>
        <v>4756.9679295264004</v>
      </c>
      <c r="O69" s="8"/>
      <c r="P69" s="8"/>
      <c r="Q69" s="9">
        <f t="shared" si="46"/>
        <v>26427.599608480003</v>
      </c>
      <c r="R69" s="9">
        <v>0</v>
      </c>
      <c r="S69" s="9">
        <v>0</v>
      </c>
      <c r="T69" s="9"/>
      <c r="U69" s="9"/>
      <c r="V69" s="9"/>
      <c r="W69" s="9"/>
      <c r="X69" s="12">
        <f t="shared" si="47"/>
        <v>31184.567538006402</v>
      </c>
      <c r="Y69" s="8"/>
      <c r="Z69" s="8"/>
      <c r="AB69" s="11" t="s">
        <v>53</v>
      </c>
      <c r="AC69" s="11" t="s">
        <v>42</v>
      </c>
    </row>
    <row r="70" spans="1:29" ht="15.75" customHeight="1" x14ac:dyDescent="0.25">
      <c r="A70" s="10">
        <v>46163</v>
      </c>
      <c r="B70" s="15">
        <v>1244</v>
      </c>
      <c r="C70" s="8" t="s">
        <v>45</v>
      </c>
      <c r="D70" s="8" t="s">
        <v>46</v>
      </c>
      <c r="E70" s="9">
        <v>4118285</v>
      </c>
      <c r="F70" s="9"/>
      <c r="G70" s="9">
        <v>5807.1090000000004</v>
      </c>
      <c r="H70" s="13" t="s">
        <v>49</v>
      </c>
      <c r="I70" s="8"/>
      <c r="J70" s="8" t="s">
        <v>32</v>
      </c>
      <c r="K70" s="9">
        <v>16.634899999999998</v>
      </c>
      <c r="L70" s="9">
        <v>2875.8829000000001</v>
      </c>
      <c r="M70" s="9">
        <v>18</v>
      </c>
      <c r="N70" s="9">
        <f t="shared" si="45"/>
        <v>8611.2044015777992</v>
      </c>
      <c r="O70" s="8"/>
      <c r="P70" s="8"/>
      <c r="Q70" s="9">
        <f t="shared" si="46"/>
        <v>47840.024453209997</v>
      </c>
      <c r="R70" s="9">
        <v>0</v>
      </c>
      <c r="S70" s="9">
        <v>0</v>
      </c>
      <c r="T70" s="9"/>
      <c r="U70" s="9"/>
      <c r="V70" s="9"/>
      <c r="W70" s="9"/>
      <c r="X70" s="12">
        <f t="shared" si="47"/>
        <v>56451.228854787798</v>
      </c>
      <c r="Y70" s="8"/>
      <c r="Z70" s="8"/>
      <c r="AB70" s="11" t="s">
        <v>53</v>
      </c>
      <c r="AC70" s="11" t="s">
        <v>42</v>
      </c>
    </row>
    <row r="71" spans="1:29" ht="15.75" customHeight="1" x14ac:dyDescent="0.2">
      <c r="A71" s="10">
        <v>46163</v>
      </c>
      <c r="B71" s="15">
        <v>1244</v>
      </c>
      <c r="C71" s="8" t="s">
        <v>45</v>
      </c>
      <c r="D71" s="8" t="s">
        <v>46</v>
      </c>
      <c r="E71" s="9">
        <v>4118285</v>
      </c>
      <c r="F71" s="9"/>
      <c r="G71" s="9">
        <v>4911.1000000000004</v>
      </c>
      <c r="H71" s="8" t="s">
        <v>50</v>
      </c>
      <c r="I71" s="8"/>
      <c r="J71" s="8" t="s">
        <v>51</v>
      </c>
      <c r="K71" s="9">
        <v>799</v>
      </c>
      <c r="L71" s="9">
        <v>31</v>
      </c>
      <c r="M71" s="9">
        <v>18</v>
      </c>
      <c r="N71" s="9">
        <f t="shared" si="45"/>
        <v>4458.42</v>
      </c>
      <c r="O71" s="8"/>
      <c r="P71" s="8"/>
      <c r="Q71" s="9">
        <f t="shared" si="46"/>
        <v>24769</v>
      </c>
      <c r="R71" s="9">
        <v>0</v>
      </c>
      <c r="S71" s="9">
        <v>0</v>
      </c>
      <c r="T71" s="9"/>
      <c r="U71" s="9"/>
      <c r="V71" s="9"/>
      <c r="W71" s="9"/>
      <c r="X71" s="12">
        <f t="shared" si="47"/>
        <v>29227.42</v>
      </c>
      <c r="Y71" s="8"/>
      <c r="Z71" s="8"/>
      <c r="AB71" s="11" t="s">
        <v>53</v>
      </c>
      <c r="AC71" s="11" t="s">
        <v>42</v>
      </c>
    </row>
    <row r="72" spans="1:29" ht="15.75" customHeight="1" x14ac:dyDescent="0.2">
      <c r="A72" s="10">
        <v>46163</v>
      </c>
      <c r="B72" s="15">
        <v>1245</v>
      </c>
      <c r="C72" s="8" t="s">
        <v>45</v>
      </c>
      <c r="D72" s="8" t="s">
        <v>46</v>
      </c>
      <c r="E72" s="9">
        <v>4118285</v>
      </c>
      <c r="G72" s="9">
        <v>4821.1040000000003</v>
      </c>
      <c r="H72" s="8" t="s">
        <v>52</v>
      </c>
      <c r="J72" s="8" t="s">
        <v>32</v>
      </c>
      <c r="K72" s="11">
        <v>39.35</v>
      </c>
      <c r="L72" s="9">
        <v>1554.6061</v>
      </c>
      <c r="M72" s="9">
        <v>18</v>
      </c>
      <c r="N72" s="9">
        <f t="shared" si="45"/>
        <v>11011.2750063</v>
      </c>
      <c r="Q72" s="9">
        <f t="shared" si="46"/>
        <v>61173.750035000005</v>
      </c>
      <c r="R72" s="9">
        <v>0</v>
      </c>
      <c r="S72" s="9">
        <v>0</v>
      </c>
      <c r="X72" s="12">
        <f t="shared" si="47"/>
        <v>72185.025041300003</v>
      </c>
      <c r="AB72" s="11" t="s">
        <v>53</v>
      </c>
      <c r="AC72" s="11" t="s">
        <v>42</v>
      </c>
    </row>
    <row r="73" spans="1:29" ht="15.75" customHeight="1" x14ac:dyDescent="0.2">
      <c r="A73" s="10">
        <v>46165</v>
      </c>
      <c r="B73" s="14">
        <v>2055</v>
      </c>
      <c r="C73" s="8" t="s">
        <v>45</v>
      </c>
      <c r="D73" s="8" t="s">
        <v>54</v>
      </c>
      <c r="E73" s="9">
        <v>2892996</v>
      </c>
      <c r="G73" s="9">
        <v>4811.41</v>
      </c>
      <c r="H73" s="8" t="s">
        <v>48</v>
      </c>
      <c r="I73" s="8"/>
      <c r="J73" s="8" t="s">
        <v>32</v>
      </c>
      <c r="K73" s="9">
        <v>30.132000000000001</v>
      </c>
      <c r="L73" s="9">
        <v>1935.4838999999999</v>
      </c>
      <c r="M73" s="9">
        <v>18</v>
      </c>
      <c r="N73" s="9">
        <f t="shared" si="45"/>
        <v>10497.600157463999</v>
      </c>
      <c r="O73" s="8"/>
      <c r="P73" s="8"/>
      <c r="Q73" s="9">
        <f t="shared" si="46"/>
        <v>58320.000874800004</v>
      </c>
      <c r="R73" s="9">
        <v>0</v>
      </c>
      <c r="S73" s="9">
        <v>0</v>
      </c>
      <c r="T73" s="9"/>
      <c r="U73" s="9"/>
      <c r="V73" s="9"/>
      <c r="W73" s="9"/>
      <c r="X73" s="12">
        <f t="shared" si="47"/>
        <v>68817.601032264007</v>
      </c>
      <c r="Y73" s="8"/>
      <c r="Z73" s="8"/>
      <c r="AB73" s="11" t="s">
        <v>55</v>
      </c>
      <c r="AC73" s="11" t="s">
        <v>42</v>
      </c>
    </row>
    <row r="74" spans="1:29" ht="15.75" customHeight="1" x14ac:dyDescent="0.2">
      <c r="A74" s="10">
        <v>46165</v>
      </c>
      <c r="B74" s="14">
        <v>2056</v>
      </c>
      <c r="C74" s="8" t="s">
        <v>45</v>
      </c>
      <c r="D74" s="8" t="s">
        <v>54</v>
      </c>
      <c r="E74" s="9">
        <v>2892996</v>
      </c>
      <c r="G74" s="9">
        <v>4911.1000000000004</v>
      </c>
      <c r="H74" s="8" t="s">
        <v>50</v>
      </c>
      <c r="J74" s="8" t="s">
        <v>51</v>
      </c>
      <c r="K74" s="11">
        <v>1130</v>
      </c>
      <c r="L74" s="9">
        <v>11.07522</v>
      </c>
      <c r="M74" s="9">
        <v>18</v>
      </c>
      <c r="N74" s="9">
        <f t="shared" si="45"/>
        <v>2252.6997479999995</v>
      </c>
      <c r="Q74" s="9">
        <f t="shared" si="46"/>
        <v>12514.998599999999</v>
      </c>
      <c r="R74" s="9">
        <v>0</v>
      </c>
      <c r="S74" s="9">
        <v>0</v>
      </c>
      <c r="X74" s="12">
        <f t="shared" si="47"/>
        <v>14767.698347999998</v>
      </c>
      <c r="AB74" s="11" t="s">
        <v>55</v>
      </c>
    </row>
    <row r="75" spans="1:29" ht="15.75" customHeight="1" x14ac:dyDescent="0.2">
      <c r="A75" s="10">
        <v>46165</v>
      </c>
      <c r="B75" s="14">
        <v>2091</v>
      </c>
      <c r="C75" s="8" t="s">
        <v>45</v>
      </c>
      <c r="D75" s="8" t="s">
        <v>56</v>
      </c>
      <c r="E75" s="9">
        <v>4021783</v>
      </c>
      <c r="G75" s="9">
        <v>4811.41</v>
      </c>
      <c r="H75" s="8" t="s">
        <v>47</v>
      </c>
      <c r="I75" s="8"/>
      <c r="J75" s="8" t="s">
        <v>32</v>
      </c>
      <c r="K75" s="9">
        <v>9.8254000000000001</v>
      </c>
      <c r="L75" s="9">
        <v>1769.9114999999999</v>
      </c>
      <c r="M75" s="9">
        <v>18</v>
      </c>
      <c r="N75" s="9">
        <f t="shared" si="45"/>
        <v>3130.2159213780001</v>
      </c>
      <c r="O75" s="8"/>
      <c r="P75" s="8"/>
      <c r="Q75" s="9">
        <f t="shared" si="46"/>
        <v>17390.088452100001</v>
      </c>
      <c r="R75" s="9">
        <v>0</v>
      </c>
      <c r="S75" s="9">
        <v>0</v>
      </c>
      <c r="T75" s="9"/>
      <c r="U75" s="9"/>
      <c r="V75" s="9"/>
      <c r="W75" s="9"/>
      <c r="X75" s="12">
        <f t="shared" si="47"/>
        <v>20520.304373478</v>
      </c>
      <c r="Y75" s="8"/>
      <c r="Z75" s="8"/>
      <c r="AB75" s="11" t="s">
        <v>57</v>
      </c>
      <c r="AC75" s="11" t="s">
        <v>42</v>
      </c>
    </row>
    <row r="76" spans="1:29" ht="15.75" customHeight="1" x14ac:dyDescent="0.2">
      <c r="A76" s="10">
        <v>46165</v>
      </c>
      <c r="B76" s="14">
        <v>2091</v>
      </c>
      <c r="C76" s="8" t="s">
        <v>45</v>
      </c>
      <c r="D76" s="8" t="s">
        <v>56</v>
      </c>
      <c r="E76" s="9">
        <v>4021783</v>
      </c>
      <c r="G76" s="9">
        <v>4811.41</v>
      </c>
      <c r="H76" s="8" t="s">
        <v>48</v>
      </c>
      <c r="I76" s="8"/>
      <c r="J76" s="8" t="s">
        <v>32</v>
      </c>
      <c r="K76" s="9">
        <v>14.2758</v>
      </c>
      <c r="L76" s="9">
        <v>1928.5714</v>
      </c>
      <c r="M76" s="9">
        <v>18</v>
      </c>
      <c r="N76" s="9">
        <f t="shared" si="45"/>
        <v>4955.7419265815997</v>
      </c>
      <c r="O76" s="8"/>
      <c r="P76" s="8"/>
      <c r="Q76" s="9">
        <f t="shared" si="46"/>
        <v>27531.89959212</v>
      </c>
      <c r="R76" s="9">
        <v>0</v>
      </c>
      <c r="S76" s="9">
        <v>0</v>
      </c>
      <c r="T76" s="9"/>
      <c r="U76" s="9"/>
      <c r="V76" s="9"/>
      <c r="W76" s="9"/>
      <c r="X76" s="12">
        <f t="shared" si="47"/>
        <v>32487.641518701599</v>
      </c>
      <c r="Y76" s="8"/>
      <c r="Z76" s="8"/>
      <c r="AB76" s="11" t="s">
        <v>57</v>
      </c>
      <c r="AC76" s="11" t="s">
        <v>42</v>
      </c>
    </row>
    <row r="77" spans="1:29" ht="15.75" customHeight="1" x14ac:dyDescent="0.25">
      <c r="A77" s="10">
        <v>46165</v>
      </c>
      <c r="B77" s="14">
        <v>2091</v>
      </c>
      <c r="C77" s="8" t="s">
        <v>45</v>
      </c>
      <c r="D77" s="8" t="s">
        <v>56</v>
      </c>
      <c r="E77" s="9">
        <v>4021783</v>
      </c>
      <c r="G77" s="9">
        <v>5807.1090000000004</v>
      </c>
      <c r="H77" s="13" t="s">
        <v>49</v>
      </c>
      <c r="I77" s="8"/>
      <c r="J77" s="8" t="s">
        <v>32</v>
      </c>
      <c r="K77" s="9">
        <v>6.2889999999999997</v>
      </c>
      <c r="L77" s="9">
        <v>7851.2397000000001</v>
      </c>
      <c r="M77" s="9">
        <v>18</v>
      </c>
      <c r="N77" s="9">
        <f t="shared" si="45"/>
        <v>8887.760365193999</v>
      </c>
      <c r="O77" s="8"/>
      <c r="P77" s="8"/>
      <c r="Q77" s="9">
        <f t="shared" si="46"/>
        <v>49376.446473299999</v>
      </c>
      <c r="R77" s="9">
        <v>0</v>
      </c>
      <c r="S77" s="9">
        <v>0</v>
      </c>
      <c r="T77" s="9"/>
      <c r="U77" s="9"/>
      <c r="V77" s="9"/>
      <c r="W77" s="9"/>
      <c r="X77" s="12">
        <f t="shared" si="47"/>
        <v>58264.206838493999</v>
      </c>
      <c r="Y77" s="8"/>
      <c r="Z77" s="8"/>
      <c r="AB77" s="11" t="s">
        <v>57</v>
      </c>
      <c r="AC77" s="11" t="s">
        <v>42</v>
      </c>
    </row>
    <row r="78" spans="1:29" ht="15.75" customHeight="1" x14ac:dyDescent="0.2">
      <c r="A78" s="10">
        <v>46165</v>
      </c>
      <c r="B78" s="14">
        <v>2091</v>
      </c>
      <c r="C78" s="8" t="s">
        <v>45</v>
      </c>
      <c r="D78" s="8" t="s">
        <v>56</v>
      </c>
      <c r="E78" s="9">
        <v>4021783</v>
      </c>
      <c r="G78" s="9">
        <v>4911.1000000000004</v>
      </c>
      <c r="H78" s="8" t="s">
        <v>50</v>
      </c>
      <c r="I78" s="8"/>
      <c r="J78" s="8" t="s">
        <v>51</v>
      </c>
      <c r="K78" s="9">
        <v>855</v>
      </c>
      <c r="L78" s="9">
        <v>31</v>
      </c>
      <c r="M78" s="9">
        <v>18</v>
      </c>
      <c r="N78" s="9">
        <f t="shared" si="45"/>
        <v>4770.8999999999996</v>
      </c>
      <c r="O78" s="8"/>
      <c r="P78" s="8"/>
      <c r="Q78" s="9">
        <f t="shared" si="46"/>
        <v>26505</v>
      </c>
      <c r="R78" s="9">
        <v>0</v>
      </c>
      <c r="S78" s="9">
        <v>0</v>
      </c>
      <c r="T78" s="9"/>
      <c r="U78" s="9"/>
      <c r="V78" s="9"/>
      <c r="W78" s="9"/>
      <c r="X78" s="12">
        <f t="shared" si="47"/>
        <v>31275.9</v>
      </c>
      <c r="Y78" s="8"/>
      <c r="Z78" s="8"/>
      <c r="AB78" s="11" t="s">
        <v>57</v>
      </c>
      <c r="AC78" s="11" t="s">
        <v>42</v>
      </c>
    </row>
    <row r="79" spans="1:29" ht="15.75" customHeight="1" x14ac:dyDescent="0.2">
      <c r="A79" s="10">
        <v>46165</v>
      </c>
      <c r="B79" s="14">
        <v>2092</v>
      </c>
      <c r="C79" s="8" t="s">
        <v>45</v>
      </c>
      <c r="D79" s="8" t="s">
        <v>56</v>
      </c>
      <c r="E79" s="9">
        <v>4021783</v>
      </c>
      <c r="G79" s="9">
        <v>4821.1040000000003</v>
      </c>
      <c r="H79" s="8" t="s">
        <v>52</v>
      </c>
      <c r="J79" s="8" t="s">
        <v>32</v>
      </c>
      <c r="K79" s="11">
        <v>40.61</v>
      </c>
      <c r="L79" s="9">
        <v>1569.3487</v>
      </c>
      <c r="M79" s="9">
        <v>18</v>
      </c>
      <c r="N79" s="9">
        <f t="shared" si="45"/>
        <v>11471.62512726</v>
      </c>
      <c r="Q79" s="9">
        <f t="shared" si="46"/>
        <v>63731.250706999999</v>
      </c>
      <c r="R79" s="9">
        <v>0</v>
      </c>
      <c r="S79" s="9">
        <v>0</v>
      </c>
      <c r="X79" s="12">
        <f t="shared" si="47"/>
        <v>75202.875834260005</v>
      </c>
      <c r="AB79" s="11" t="s">
        <v>57</v>
      </c>
      <c r="AC79" s="11" t="s">
        <v>42</v>
      </c>
    </row>
    <row r="80" spans="1:29" ht="15.75" customHeight="1" x14ac:dyDescent="0.2">
      <c r="A80" s="10">
        <v>46167</v>
      </c>
      <c r="B80" s="15">
        <v>1246</v>
      </c>
      <c r="C80" s="8" t="s">
        <v>45</v>
      </c>
      <c r="D80" s="8" t="s">
        <v>46</v>
      </c>
      <c r="E80" s="9">
        <v>4118285</v>
      </c>
      <c r="F80" s="9"/>
      <c r="G80" s="9">
        <v>4811.41</v>
      </c>
      <c r="H80" s="8" t="s">
        <v>47</v>
      </c>
      <c r="I80" s="8"/>
      <c r="J80" s="8" t="s">
        <v>32</v>
      </c>
      <c r="K80" s="9">
        <v>9.3676999999999992</v>
      </c>
      <c r="L80" s="9">
        <v>1769.9114999999999</v>
      </c>
      <c r="M80" s="9">
        <v>18</v>
      </c>
      <c r="N80" s="9">
        <f t="shared" ref="N80:N84" si="48">K80*L80*(M80%)</f>
        <v>2984.3999925389994</v>
      </c>
      <c r="O80" s="8"/>
      <c r="P80" s="8"/>
      <c r="Q80" s="9">
        <f t="shared" ref="Q80:Q84" si="49">K80*L80</f>
        <v>16579.999958549997</v>
      </c>
      <c r="R80" s="9">
        <v>0</v>
      </c>
      <c r="S80" s="9">
        <v>0</v>
      </c>
      <c r="T80" s="9"/>
      <c r="U80" s="9"/>
      <c r="V80" s="9"/>
      <c r="W80" s="9"/>
      <c r="X80" s="12">
        <f t="shared" ref="X80:X84" si="50">Q80+N80</f>
        <v>19564.399951088995</v>
      </c>
      <c r="Y80" s="8"/>
      <c r="Z80" s="8"/>
      <c r="AB80" s="11" t="s">
        <v>53</v>
      </c>
      <c r="AC80" s="11" t="s">
        <v>42</v>
      </c>
    </row>
    <row r="81" spans="1:29" ht="15.75" customHeight="1" x14ac:dyDescent="0.2">
      <c r="A81" s="10">
        <v>46167</v>
      </c>
      <c r="B81" s="15">
        <v>1246</v>
      </c>
      <c r="C81" s="8" t="s">
        <v>45</v>
      </c>
      <c r="D81" s="8" t="s">
        <v>46</v>
      </c>
      <c r="E81" s="9">
        <v>4118285</v>
      </c>
      <c r="F81" s="9"/>
      <c r="G81" s="9">
        <v>4811.41</v>
      </c>
      <c r="H81" s="8" t="s">
        <v>48</v>
      </c>
      <c r="I81" s="8"/>
      <c r="J81" s="8" t="s">
        <v>32</v>
      </c>
      <c r="K81" s="9">
        <v>13.8607</v>
      </c>
      <c r="L81" s="9">
        <v>1928.5714</v>
      </c>
      <c r="M81" s="9">
        <v>18</v>
      </c>
      <c r="N81" s="9">
        <f t="shared" si="48"/>
        <v>4811.6429287164001</v>
      </c>
      <c r="O81" s="8"/>
      <c r="P81" s="8"/>
      <c r="Q81" s="9">
        <f t="shared" si="49"/>
        <v>26731.349603980001</v>
      </c>
      <c r="R81" s="9">
        <v>0</v>
      </c>
      <c r="S81" s="9">
        <v>0</v>
      </c>
      <c r="T81" s="9"/>
      <c r="U81" s="9"/>
      <c r="V81" s="9"/>
      <c r="W81" s="9"/>
      <c r="X81" s="12">
        <f t="shared" si="50"/>
        <v>31542.9925326964</v>
      </c>
      <c r="Y81" s="8"/>
      <c r="Z81" s="8"/>
      <c r="AB81" s="11" t="s">
        <v>53</v>
      </c>
      <c r="AC81" s="11" t="s">
        <v>42</v>
      </c>
    </row>
    <row r="82" spans="1:29" ht="15.75" customHeight="1" x14ac:dyDescent="0.25">
      <c r="A82" s="10">
        <v>46167</v>
      </c>
      <c r="B82" s="15">
        <v>1246</v>
      </c>
      <c r="C82" s="8" t="s">
        <v>45</v>
      </c>
      <c r="D82" s="8" t="s">
        <v>46</v>
      </c>
      <c r="E82" s="9">
        <v>4118285</v>
      </c>
      <c r="F82" s="9"/>
      <c r="G82" s="9">
        <v>5807.1090000000004</v>
      </c>
      <c r="H82" s="13" t="s">
        <v>49</v>
      </c>
      <c r="I82" s="8"/>
      <c r="J82" s="8" t="s">
        <v>32</v>
      </c>
      <c r="K82" s="9">
        <v>16.827200000000001</v>
      </c>
      <c r="L82" s="9">
        <v>2875.8829000000001</v>
      </c>
      <c r="M82" s="9">
        <v>18</v>
      </c>
      <c r="N82" s="9">
        <f t="shared" si="48"/>
        <v>8710.7502122784008</v>
      </c>
      <c r="O82" s="8"/>
      <c r="P82" s="8"/>
      <c r="Q82" s="9">
        <f t="shared" si="49"/>
        <v>48393.056734880003</v>
      </c>
      <c r="R82" s="9">
        <v>0</v>
      </c>
      <c r="S82" s="9">
        <v>0</v>
      </c>
      <c r="T82" s="9"/>
      <c r="U82" s="9"/>
      <c r="V82" s="9"/>
      <c r="W82" s="9"/>
      <c r="X82" s="12">
        <f t="shared" si="50"/>
        <v>57103.806947158402</v>
      </c>
      <c r="Y82" s="8"/>
      <c r="Z82" s="8"/>
      <c r="AB82" s="11" t="s">
        <v>53</v>
      </c>
      <c r="AC82" s="11" t="s">
        <v>42</v>
      </c>
    </row>
    <row r="83" spans="1:29" ht="15.75" customHeight="1" x14ac:dyDescent="0.2">
      <c r="A83" s="10">
        <v>46167</v>
      </c>
      <c r="B83" s="15">
        <v>1246</v>
      </c>
      <c r="C83" s="8" t="s">
        <v>45</v>
      </c>
      <c r="D83" s="8" t="s">
        <v>46</v>
      </c>
      <c r="E83" s="9">
        <v>4118285</v>
      </c>
      <c r="F83" s="9"/>
      <c r="G83" s="9">
        <v>4911.1000000000004</v>
      </c>
      <c r="H83" s="8" t="s">
        <v>50</v>
      </c>
      <c r="I83" s="8"/>
      <c r="J83" s="8" t="s">
        <v>51</v>
      </c>
      <c r="K83" s="9">
        <v>808</v>
      </c>
      <c r="L83" s="9">
        <v>31</v>
      </c>
      <c r="M83" s="9">
        <v>18</v>
      </c>
      <c r="N83" s="9">
        <f t="shared" si="48"/>
        <v>4508.6399999999994</v>
      </c>
      <c r="O83" s="8"/>
      <c r="P83" s="8"/>
      <c r="Q83" s="9">
        <f t="shared" si="49"/>
        <v>25048</v>
      </c>
      <c r="R83" s="9">
        <v>0</v>
      </c>
      <c r="S83" s="9">
        <v>0</v>
      </c>
      <c r="T83" s="9"/>
      <c r="U83" s="9"/>
      <c r="V83" s="9"/>
      <c r="W83" s="9"/>
      <c r="X83" s="12">
        <f t="shared" si="50"/>
        <v>29556.639999999999</v>
      </c>
      <c r="Y83" s="8"/>
      <c r="Z83" s="8"/>
      <c r="AB83" s="11" t="s">
        <v>53</v>
      </c>
      <c r="AC83" s="11" t="s">
        <v>42</v>
      </c>
    </row>
    <row r="84" spans="1:29" ht="15.75" customHeight="1" x14ac:dyDescent="0.2">
      <c r="A84" s="10">
        <v>46167</v>
      </c>
      <c r="B84" s="15">
        <v>1247</v>
      </c>
      <c r="C84" s="8" t="s">
        <v>45</v>
      </c>
      <c r="D84" s="8" t="s">
        <v>46</v>
      </c>
      <c r="E84" s="9">
        <v>4118285</v>
      </c>
      <c r="G84" s="9">
        <v>4821.1040000000003</v>
      </c>
      <c r="H84" s="8" t="s">
        <v>52</v>
      </c>
      <c r="J84" s="8" t="s">
        <v>32</v>
      </c>
      <c r="K84" s="11">
        <v>39.4</v>
      </c>
      <c r="L84" s="9">
        <v>1570.5265999999999</v>
      </c>
      <c r="M84" s="9">
        <v>18</v>
      </c>
      <c r="N84" s="9">
        <f t="shared" si="48"/>
        <v>11138.174647199998</v>
      </c>
      <c r="Q84" s="9">
        <f t="shared" si="49"/>
        <v>61878.748039999991</v>
      </c>
      <c r="R84" s="9">
        <v>0</v>
      </c>
      <c r="S84" s="9">
        <v>0</v>
      </c>
      <c r="X84" s="12">
        <f t="shared" si="50"/>
        <v>73016.922687199985</v>
      </c>
      <c r="AB84" s="11" t="s">
        <v>53</v>
      </c>
      <c r="AC84" s="11" t="s">
        <v>42</v>
      </c>
    </row>
    <row r="85" spans="1:29" ht="15.75" customHeight="1" x14ac:dyDescent="0.2"/>
    <row r="86" spans="1:29" ht="15.75" customHeight="1" x14ac:dyDescent="0.2"/>
    <row r="87" spans="1:29" ht="15.75" customHeight="1" x14ac:dyDescent="0.2"/>
    <row r="88" spans="1:29" ht="15.75" customHeight="1" x14ac:dyDescent="0.2"/>
    <row r="89" spans="1:29" ht="15.75" customHeight="1" x14ac:dyDescent="0.2"/>
    <row r="90" spans="1:29" ht="15.75" customHeight="1" x14ac:dyDescent="0.2"/>
    <row r="91" spans="1:29" ht="15.75" customHeight="1" x14ac:dyDescent="0.2"/>
    <row r="92" spans="1:29" ht="15.75" customHeight="1" x14ac:dyDescent="0.2"/>
    <row r="93" spans="1:29" ht="15.75" customHeight="1" x14ac:dyDescent="0.2"/>
    <row r="94" spans="1:29" ht="15.75" customHeight="1" x14ac:dyDescent="0.2"/>
    <row r="95" spans="1:29" ht="15.75" customHeight="1" x14ac:dyDescent="0.2"/>
    <row r="96" spans="1:29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2026-07-09T08:55:01Z</dcterms:modified>
</cp:coreProperties>
</file>